
<file path=[Content_Types].xml><?xml version="1.0" encoding="utf-8"?>
<Types xmlns="http://schemas.openxmlformats.org/package/2006/content-types">
  <Default Extension="rels" ContentType="application/vnd.openxmlformats-package.relationships+xml"/>
  <Default Extension="xlsx" ContentType="application/vnd.openxmlformats-officedocument.spreadsheetml.sheet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397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user\Desktop\특수학급지도 - V5 -\data\"/>
    </mc:Choice>
  </mc:AlternateContent>
  <x:bookViews>
    <x:workbookView xWindow="0" yWindow="0" windowWidth="28545" windowHeight="11340" tabRatio="500"/>
  </x:bookViews>
  <x:sheets>
    <x:sheet name="middle" sheetId="1" r:id="rId4"/>
  </x:sheets>
  <x:externalReferences>
    <x:externalReference r:id="rId5"/>
  </x:externalReferenc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<x:sst xmlns:r="http://schemas.openxmlformats.org/officeDocument/2006/relationships" xmlns:c="http://schemas.openxmlformats.org/drawingml/2006/chart" xmlns:x="http://schemas.openxmlformats.org/spreadsheetml/2006/main" count="189" uniqueCount="122">
  <x:si>
    <x:t>070-7097-0916</x:t>
  </x:si>
  <x:si>
    <x:t>031-487-7342</x:t>
  </x:si>
  <x:si>
    <x:t>031-506-1230</x:t>
  </x:si>
  <x:si>
    <x:t>031-365-3424</x:t>
  </x:si>
  <x:si>
    <x:t>070-7097-0063</x:t>
  </x:si>
  <x:si>
    <x:t>경기도 시흥시 배곧4로 72</x:t>
  </x:si>
  <x:si>
    <x:t>070-7097-0471</x:t>
  </x:si>
  <x:si>
    <x:t>경기도 시흥시 장곡로 10</x:t>
  </x:si>
  <x:si>
    <x:t>031-8099-9920</x:t>
  </x:si>
  <x:si>
    <x:t>경기도 시흥시 금오로 640</x:t>
  </x:si>
  <x:si>
    <x:t>02-2616-9728</x:t>
  </x:si>
  <x:si>
    <x:t>경기도 시흥시 역전로 435</x:t>
  </x:si>
  <x:si>
    <x:t>031-490-4800</x:t>
  </x:si>
  <x:si>
    <x:t>070-7158-9000</x:t>
  </x:si>
  <x:si>
    <x:t>031-503-7900</x:t>
  </x:si>
  <x:si>
    <x:t>070-7097-0700</x:t>
  </x:si>
  <x:si>
    <x:t>경기도 시흥시 매화로 71</x:t>
  </x:si>
  <x:si>
    <x:t>031-363-1527</x:t>
  </x:si>
  <x:si>
    <x:t>070-7097-0414</x:t>
  </x:si>
  <x:si>
    <x:t>031-503-2045</x:t>
  </x:si>
  <x:si>
    <x:t>070-7097-0309</x:t>
  </x:si>
  <x:si>
    <x:t>경기도 시흥시 능곡로 117</x:t>
  </x:si>
  <x:si>
    <x:t>031-364-3500</x:t>
  </x:si>
  <x:si>
    <x:t>070-7097-1901</x:t>
  </x:si>
  <x:si>
    <x:t>031-365-8200</x:t>
  </x:si>
  <x:si>
    <x:t>031-8042-2790</x:t>
  </x:si>
  <x:si>
    <x:t>031-317-3032</x:t>
  </x:si>
  <x:si>
    <x:t>031-363-2800</x:t>
  </x:si>
  <x:si>
    <x:t>한국글로벌중학구</x:t>
  </x:si>
  <x:si>
    <x:t>37.359424</x:t>
  </x:si>
  <x:si>
    <x:t>126.7834</x:t>
  </x:si>
  <x:si>
    <x:t>126.731386</x:t>
  </x:si>
  <x:si>
    <x:t>군서미래국제학교(중)</x:t>
  </x:si>
  <x:si>
    <x:t>신천중학교(복합특수)</x:t>
  </x:si>
  <x:si>
    <x:t>23/ 2</x:t>
  </x:si>
  <x:si>
    <x:t>연성중학구</x:t>
  </x:si>
  <x:si>
    <x:t>장곡중학구</x:t>
  </x:si>
  <x:si>
    <x:t>송운중학교</x:t>
  </x:si>
  <x:si>
    <x:t>월곶중학구</x:t>
  </x:si>
  <x:si>
    <x:t>군자중학교</x:t>
  </x:si>
  <x:si>
    <x:t>조남중학교</x:t>
  </x:si>
  <x:si>
    <x:t>대흥중학교</x:t>
  </x:si>
  <x:si>
    <x:t>서해중학교</x:t>
  </x:si>
  <x:si>
    <x:t>장곡중학교</x:t>
  </x:si>
  <x:si>
    <x:t>목감중학구</x:t>
  </x:si>
  <x:si>
    <x:t>조남중학구</x:t>
  </x:si>
  <x:si>
    <x:t>연성중학교</x:t>
  </x:si>
  <x:si>
    <x:t>논곡중학교</x:t>
  </x:si>
  <x:si>
    <x:t>정왕중학교</x:t>
  </x:si>
  <x:si>
    <x:t>소래중학교</x:t>
  </x:si>
  <x:si>
    <x:t>배곧해솔중학교</x:t>
  </x:si>
  <x:si>
    <x:t>배곧라라중학교</x:t>
  </x:si>
  <x:si>
    <x:t>시흥은행중학교</x:t>
  </x:si>
  <x:si>
    <x:t>월곶중학교</x:t>
  </x:si>
  <x:si>
    <x:t>응곡중학교</x:t>
  </x:si>
  <x:si>
    <x:t>배곧중학교</x:t>
  </x:si>
  <x:si>
    <x:t>소래중학구</x:t>
  </x:si>
  <x:si>
    <x:t>시화중학구</x:t>
  </x:si>
  <x:si>
    <x:t>시흥능곡중학교</x:t>
  </x:si>
  <x:si>
    <x:t>시흥매화중학구</x:t>
  </x:si>
  <x:si>
    <x:t>시화중학교</x:t>
  </x:si>
  <x:si>
    <x:t>시흥중학교</x:t>
  </x:si>
  <x:si>
    <x:t>함현중학교</x:t>
  </x:si>
  <x:si>
    <x:t>4/ 1</x:t>
  </x:si>
  <x:si>
    <x:t>복합/시간제</x:t>
  </x:si>
  <x:si>
    <x:t>시흥능곡중학구</x:t>
  </x:si>
  <x:si>
    <x:t>37.4351</x:t>
  </x:si>
  <x:si>
    <x:t>시흥매화중학교</x:t>
  </x:si>
  <x:si>
    <x:t>배곧중학구</x:t>
  </x:si>
  <x:si>
    <x:t>(특수/순회/일반)</x:t>
  </x:si>
  <x:si>
    <x:t>031-317-7304</x:t>
  </x:si>
  <x:si>
    <x:t>031-8042-5272</x:t>
  </x:si>
  <x:si>
    <x:t>031-433-0073</x:t>
  </x:si>
  <x:si>
    <x:t>시화나래중학교(복합특수)</x:t>
  </x:si>
  <x:si>
    <x:t>031-8042-2491</x:t>
  </x:si>
  <x:si>
    <x:t>031-505-1834</x:t>
  </x:si>
  <x:si>
    <x:t>경기도 시흥시 옥구천서로 373번길 18</x:t>
  </x:si>
  <x:si>
    <x:t>경기도 시흥시 서울대학로 150-23</x:t>
  </x:si>
  <x:si>
    <x:t>경기도 시흥시 옥구천동로 374번길 39</x:t>
  </x:si>
  <x:si>
    <x:t>경기도 시흥시 은행로 144번길 36</x:t>
  </x:si>
  <x:si>
    <x:t>경기도 시흥시 수인로2421번길 72</x:t>
  </x:si>
  <x:si>
    <x:t>경기도 시흥시 옥구천동로 433-11</x:t>
  </x:si>
  <x:si>
    <x:t>경기도 시흥시 정왕대로 298번길 28</x:t>
  </x:si>
  <x:si>
    <x:t>복특 1학급/시간제 3학급</x:t>
  </x:si>
  <x:si>
    <x:t>경기도 시흥시 은행로 60</x:t>
  </x:si>
  <x:si>
    <x:t>031-8063-1800</x:t>
  </x:si>
  <x:si>
    <x:t>위도</x:t>
  </x:si>
  <x:si>
    <x:t>공립</x:t>
  </x:si>
  <x:si>
    <x:t>사립</x:t>
  </x:si>
  <x:si>
    <x:t>유</x:t>
  </x:si>
  <x:si>
    <x:t>경도</x:t>
  </x:si>
  <x:si>
    <x:t>-</x:t>
  </x:si>
  <x:si>
    <x:t xml:space="preserve"> 특수/순회학급수</x:t>
  </x:si>
  <x:si>
    <x:t>보조인력 배치 유/무</x:t>
  </x:si>
  <x:si>
    <x:t xml:space="preserve"> 비고</x:t>
  </x:si>
  <x:si>
    <x:t xml:space="preserve"> 학구</x:t>
  </x:si>
  <x:si>
    <x:t xml:space="preserve"> 주소</x:t>
  </x:si>
  <x:si>
    <x:t>산현중학교(복합특수)</x:t>
  </x:si>
  <x:si>
    <x:t>한국글로벌중학교</x:t>
  </x:si>
  <x:si>
    <x:t>경기도 시흥시 거북섬남로 70</x:t>
  </x:si>
  <x:si>
    <x:t>경기도 시흥시 큰솔로 52번길 23</x:t>
  </x:si>
  <x:si>
    <x:t>경기도 시흥시 목감둘레로 205</x:t>
  </x:si>
  <x:si>
    <x:t>경기도 시흥시 서울대학로 255</x:t>
  </x:si>
  <x:si>
    <x:t>경기도 시흥시 하상로 14-7</x:t>
  </x:si>
  <x:si>
    <x:t>경기도 시흥시 월곶해안로 63</x:t>
  </x:si>
  <x:si>
    <x:t>경기도 시흥시 목감남서로 66</x:t>
  </x:si>
  <x:si>
    <x:t>경기도 시흥시 장곡로54번길 14</x:t>
  </x:si>
  <x:si>
    <x:t>경기도 시흥시 장현순환로 100</x:t>
  </x:si>
  <x:si>
    <x:t>경기도 시흥시 대은로111번길 10</x:t>
  </x:si>
  <x:si>
    <x:t>경기도 시흥시 포도원로 88-1</x:t>
  </x:si>
  <x:si>
    <x:t>경기도 시흥시 대야동 377-70</x:t>
  </x:si>
  <x:si>
    <x:t>경기도 시흥시 군서마을로 102</x:t>
  </x:si>
  <x:si>
    <x:t>경기도 시흥시 군자봉길 299</x:t>
  </x:si>
  <x:si>
    <x:t>시흥가온중학교</x:t>
  </x:si>
  <x:si>
    <x:t>정왕중학구</x:t>
  </x:si>
  <x:si>
    <x:t>은계중학교</x:t>
  </x:si>
  <x:si>
    <x:t>군자중학구</x:t>
  </x:si>
  <x:si>
    <x:t>일반학급 배치 학생 수</x:t>
  </x:si>
  <x:si>
    <x:t>특수/순회학급 배치 학생 수</x:t>
  </x:si>
  <x:si>
    <x:t xml:space="preserve"> 연락처</x:t>
  </x:si>
  <x:si>
    <x:t xml:space="preserve"> 학교설립별</x:t>
  </x:si>
  <x:si>
    <x:t xml:space="preserve"> 학교명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</x:si>
</x:sst>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5">
    <x:numFmt numFmtId="164" formatCode="&quot; &quot;?&quot;명&quot;"/>
    <x:numFmt numFmtId="165" formatCode="&quot;( &quot;?&quot;학급)&quot;"/>
    <x:numFmt numFmtId="166" formatCode="&quot;( &quot;?&quot;명)&quot;"/>
    <x:numFmt numFmtId="167" formatCode="&quot;(복합특수 : &quot;?&quot;학급)&quot;"/>
    <x:numFmt numFmtId="168" formatCode="&quot;(순회 : &quot;?&quot;학급)&quot;"/>
  </x:numFmts>
  <x:fonts count="9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10"/>
          <x:color rgb="ff000000"/>
        </x:font>
      </mc:Fallback>
    </mc:AlternateContent>
    <x:font>
      <x:name val="돋움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3"/>
          <x:color rgb="ff111111"/>
          <hs:size val="100"/>
          <hs:ratio val="100"/>
          <hs:spacing val="0"/>
          <hs:offset val="0"/>
        </x:font>
      </mc:Choice>
      <mc:Fallback>
        <x:font>
          <x:name val="맑은 고딕"/>
          <x:sz val="13"/>
          <x:color rgb="ff111111"/>
        </x:font>
      </mc:Fallback>
    </mc:AlternateContent>
  </x:fonts>
  <x:fills count="3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>
      <x:alignment horizontal="general" vertical="center"/>
    </x:xf>
  </x:cellStyleXfs>
  <x:cellXfs count="15">
    <x:xf numFmtId="0" fontId="0" fillId="0" borderId="0" xfId="0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NumberFormat="1" applyBorder="1" applyAlignment="1">
          <x:alignment horizontal="center" vertical="center" wrapText="1"/>
        </x:xf>
      </mc:Fallback>
    </mc:AlternateContent>
    <x:xf numFmtId="41" fontId="0" fillId="0" borderId="1" xfId="0" applyNumberFormat="1" applyFont="1" applyFill="1" applyBorder="1">
      <x:alignment horizontal="general" vertical="center"/>
    </x:xf>
    <x:xf numFmtId="41" fontId="0" fillId="0" borderId="1" xfId="0" applyNumberFormat="1" applyBorder="1">
      <x:alignment horizontal="general" vertical="center"/>
    </x:xf>
    <x:xf numFmtId="164" fontId="0" fillId="0" borderId="1" xfId="0" applyNumberFormat="1" applyFont="1" applyFill="1" applyBorder="1">
      <x:alignment horizontal="general" vertical="center"/>
    </x:xf>
    <x:xf numFmtId="0" fontId="0" fillId="0" borderId="1" xfId="0" applyNumberFormat="1" applyBorder="1">
      <x:alignment horizontal="general" vertical="center"/>
    </x:xf>
    <x:xf numFmtId="0" fontId="7" fillId="0" borderId="1" xfId="0" applyNumberFormat="1" applyFont="1" applyFill="1" applyBorder="1" applyAlignment="1" applyProtection="1">
      <x:alignment horizontal="general" vertical="center"/>
    </x:xf>
    <x:xf numFmtId="0" fontId="7" fillId="0" borderId="0" xfId="0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5" fontId="0" fillId="0" borderId="1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1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0" fillId="0" borderId="1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0" fillId="0" borderId="1" xfId="0" applyNumberFormat="1" applyFont="1" applyFill="1" applyBorder="1" applyAlignment="1">
          <x:alignment horizontal="right" vertical="center"/>
        </x:xf>
      </mc:Fallback>
    </mc:AlternateContent>
    <x:xf numFmtId="165" fontId="0" fillId="0" borderId="1" xfId="0" applyNumberFormat="1" applyFont="1" applyFill="1" applyBorder="1">
      <x:alignment horizontal="general" vertical="center"/>
    </x:xf>
    <x:xf numFmtId="0" fontId="8" fillId="2" borderId="0" xfId="0" applyNumberFormat="1" applyFont="1" applyFill="1" applyAlignment="1">
      <x:alignment horizontal="general" vertical="center" wrapText="1"/>
    </x:xf>
    <x:xf numFmtId="167" fontId="0" fillId="0" borderId="1" xfId="0" applyNumberFormat="1" applyFont="1" applyFill="1" applyBorder="1">
      <x:alignment horizontal="general" vertical="center"/>
    </x:xf>
    <x:xf numFmtId="168" fontId="0" fillId="0" borderId="1" xfId="0" applyNumberFormat="1" applyFont="1" applyFill="1" applyBorder="1">
      <x:alignment horizontal="general" vertical="center"/>
    </x:xf>
    <x:xf numFmtId="0" fontId="0" fillId="0" borderId="0" xfId="0" applyAlignment="1">
      <x:alignment horizontal="general" vertical="center"/>
    </x:xf>
  </x:cellXfs>
  <x:cellStyles count="1">
    <x:cellStyle name="표준" xfId="0" builtinId="0" iLevel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externalLink" Target="externalLinks/externalLink1.xml"  /></Relationships>
</file>

<file path=xl/externalLinks/_rels/externalLink1.xml.rels><?xml version="1.0" encoding="UTF-8" standalone="yes" ?><Relationships xmlns="http://schemas.openxmlformats.org/package/2006/relationships"><Relationship Id="rId1" Type="http://schemas.openxmlformats.org/officeDocument/2006/relationships/externalLinkPath" Target="file:///C:/1.%2026%20&#49884;&#55141;&#53945;&#49688;&#44368;&#50977;&#51648;&#50896;&#52397;%20&#50629;&#47924;/3.&#53945;&#49688;&#44368;&#50977;&#45824;&#49345;&#51088;%20&#44033;&#51333;%20&#54788;&#54889;+&#51221;&#50896;&#50808;&#44288;&#47532;/&#9734;2026&#54617;&#45380;&#46020;%20&#49884;&#55141;%20&#53945;&#49688;&#44368;&#50977;&#45824;&#49345;&#51088;%20&#48143;%20&#44033;&#51333;%20&#54788;&#54889;(26.10.01).xlsx" TargetMode="External" /></Relationships>
</file>

<file path=xl/externalLinks/externalLink1.xml><?xml version="1.0" encoding="utf-8"?>
<x:externalLink xmlns:r="http://schemas.openxmlformats.org/officeDocument/2006/relationships" xmlns:c="http://schemas.openxmlformats.org/drawingml/2006/chart" xmlns:x="http://schemas.openxmlformats.org/spreadsheetml/2006/main">
  <x:externalBook r:id="rId1">
    <x:sheetNames>
      <x:sheetName val="&lt;총괄"/>
      <x:sheetName val="특수학급 변동"/>
      <x:sheetName val="영아"/>
      <x:sheetName val="1_ 유치원"/>
      <x:sheetName val="명단-유치원"/>
      <x:sheetName val="2.초등"/>
      <x:sheetName val="명단-초등학교"/>
      <x:sheetName val="3.중등"/>
      <x:sheetName val="명단-중학교"/>
      <x:sheetName val="4.고등"/>
      <x:sheetName val="명단-고등학교"/>
      <x:sheetName val="영유아보육료"/>
      <x:sheetName val="부결"/>
      <x:sheetName val="취소"/>
      <x:sheetName val="유예, 정원외 관리, 취학유예 등"/>
      <x:sheetName val="전출"/>
      <x:sheetName val="의료지원 필요 특수교육대상자"/>
      <x:sheetName val="건강장애 원격수업 이용현황"/>
      <x:sheetName val="치료사 치료지원"/>
      <x:sheetName val="졸업자 명단"/>
      <x:sheetName val="개교예정교"/>
      <x:sheetName val="센터현황"/>
      <x:sheetName val="2026. 9. 1.자 추가배치 신청"/>
      <x:sheetName val="2026. 9. 1.자 추가배치 신청 (2)"/>
      <x:sheetName val="특수교사"/>
      <x:sheetName val="협력강사"/>
      <x:sheetName val="특수교육지도사"/>
      <x:sheetName val="사회복무요원"/>
      <x:sheetName val="교내활동지원"/>
      <x:sheetName val="학교내일자리·봉사"/>
      <x:sheetName val="특수교육종일반"/>
      <x:sheetName val="꿈이든카드제공기관"/>
      <x:sheetName val="경기 특수학교 및 지원센터&gt;"/>
      <x:sheetName val="학교급설치현황(유)"/>
      <x:sheetName val="학교급설치현황(초)"/>
      <x:sheetName val="학교급설치현황(중)"/>
      <x:sheetName val="학교급설치현황(고)"/>
      <x:sheetName val="구글지도 업로드용(유)"/>
      <x:sheetName val="구글지도 업로드용 (초)"/>
      <x:sheetName val="구글지도 업로드용 (중)"/>
      <x:sheetName val="구글지도 업로드용 (고)"/>
    </x:sheetNames>
    <x:sheetDataSet>
      <x:sheetData sheetId="0" refreshError="0"/>
      <x:sheetData sheetId="1" refreshError="0"/>
      <x:sheetData sheetId="2" refreshError="0"/>
      <x:sheetData sheetId="3" refreshError="0"/>
      <x:sheetData sheetId="4" refreshError="0"/>
      <x:sheetData sheetId="5" refreshError="0"/>
      <x:sheetData sheetId="6" refreshError="0"/>
      <x:sheetData sheetId="7" refreshError="0"/>
      <x:sheetData sheetId="8" refreshError="0"/>
      <x:sheetData sheetId="9" refreshError="0"/>
      <x:sheetData sheetId="10" refreshError="0"/>
      <x:sheetData sheetId="11" refreshError="0"/>
      <x:sheetData sheetId="12" refreshError="0"/>
      <x:sheetData sheetId="13" refreshError="0"/>
      <x:sheetData sheetId="14" refreshError="0"/>
      <x:sheetData sheetId="15" refreshError="0"/>
      <x:sheetData sheetId="16" refreshError="0"/>
      <x:sheetData sheetId="17" refreshError="0"/>
      <x:sheetData sheetId="18" refreshError="0"/>
      <x:sheetData sheetId="19" refreshError="0"/>
      <x:sheetData sheetId="20" refreshError="0"/>
      <x:sheetData sheetId="21" refreshError="0"/>
      <x:sheetData sheetId="22" refreshError="0"/>
      <x:sheetData sheetId="23" refreshError="0"/>
      <x:sheetData sheetId="24" refreshError="0"/>
      <x:sheetData sheetId="25" refreshError="0"/>
      <x:sheetData sheetId="26" refreshError="0"/>
      <x:sheetData sheetId="27" refreshError="0"/>
      <x:sheetData sheetId="28" refreshError="0"/>
      <x:sheetData sheetId="29" refreshError="0"/>
      <x:sheetData sheetId="30" refreshError="0"/>
      <x:sheetData sheetId="31" refreshError="0"/>
      <x:sheetData sheetId="32" refreshError="0"/>
      <x:sheetData sheetId="33" refreshError="0"/>
      <x:sheetData sheetId="34" refreshError="0"/>
      <x:sheetData sheetId="35" refreshError="0">
        <x:row r="7">
          <x:cell r="E7">
            <x:v>4</x:v>
          </x:cell>
          <x:cell r="I7">
            <x:v>23</x:v>
          </x:cell>
          <x:cell r="K7">
            <x:v>1</x:v>
          </x:cell>
          <x:cell r="L7">
            <x:v>2</x:v>
          </x:cell>
          <x:cell r="Q7">
            <x:v>1</x:v>
          </x:cell>
        </x:row>
        <x:row r="8">
          <x:cell r="E8">
            <x:v>2</x:v>
          </x:cell>
          <x:cell r="I8">
            <x:v>9</x:v>
          </x:cell>
          <x:cell r="Q8">
            <x:v>0</x:v>
          </x:cell>
        </x:row>
        <x:row r="9">
          <x:cell r="E9">
            <x:v>1</x:v>
          </x:cell>
          <x:cell r="I9">
            <x:v>4</x:v>
          </x:cell>
          <x:cell r="Q9">
            <x:v>0</x:v>
          </x:cell>
        </x:row>
        <x:row r="10">
          <x:cell r="E10">
            <x:v>2</x:v>
          </x:cell>
          <x:cell r="I10">
            <x:v>15</x:v>
          </x:cell>
          <x:cell r="Q10">
            <x:v>3</x:v>
          </x:cell>
        </x:row>
        <x:row r="11">
          <x:cell r="E11">
            <x:v>1</x:v>
          </x:cell>
          <x:cell r="I11">
            <x:v>5</x:v>
          </x:cell>
          <x:cell r="Q11">
            <x:v>1</x:v>
          </x:cell>
        </x:row>
        <x:row r="12">
          <x:cell r="E12">
            <x:v>2</x:v>
          </x:cell>
          <x:cell r="I12">
            <x:v>9</x:v>
          </x:cell>
          <x:cell r="Q12">
            <x:v>7</x:v>
          </x:cell>
        </x:row>
        <x:row r="13">
          <x:cell r="E13">
            <x:v>3</x:v>
          </x:cell>
          <x:cell r="I13">
            <x:v>12</x:v>
          </x:cell>
          <x:cell r="Q13">
            <x:v>2</x:v>
          </x:cell>
        </x:row>
        <x:row r="14">
          <x:cell r="E14">
            <x:v>2</x:v>
          </x:cell>
          <x:cell r="I14">
            <x:v>14</x:v>
          </x:cell>
          <x:cell r="Q14">
            <x:v>0</x:v>
          </x:cell>
        </x:row>
        <x:row r="15">
          <x:cell r="E15">
            <x:v>2</x:v>
          </x:cell>
          <x:cell r="I15">
            <x:v>10</x:v>
          </x:cell>
          <x:cell r="Q15">
            <x:v>4</x:v>
          </x:cell>
        </x:row>
        <x:row r="16">
          <x:cell r="E16">
            <x:v>2</x:v>
          </x:cell>
          <x:cell r="I16">
            <x:v>8</x:v>
          </x:cell>
          <x:cell r="Q16">
            <x:v>2</x:v>
          </x:cell>
        </x:row>
        <x:row r="17">
          <x:cell r="E17">
            <x:v>4</x:v>
          </x:cell>
          <x:cell r="I17">
            <x:v>16</x:v>
          </x:cell>
          <x:cell r="Q17">
            <x:v>0</x:v>
          </x:cell>
        </x:row>
        <x:row r="18">
          <x:cell r="E18">
            <x:v>2</x:v>
          </x:cell>
          <x:cell r="I18">
            <x:v>13</x:v>
          </x:cell>
          <x:cell r="Q18">
            <x:v>0</x:v>
          </x:cell>
        </x:row>
        <x:row r="19">
          <x:cell r="E19">
            <x:v>2</x:v>
          </x:cell>
          <x:cell r="I19">
            <x:v>8</x:v>
          </x:cell>
          <x:cell r="Q19">
            <x:v>1</x:v>
          </x:cell>
        </x:row>
        <x:row r="20">
          <x:cell r="E20">
            <x:v>2</x:v>
          </x:cell>
          <x:cell r="I20">
            <x:v>8</x:v>
          </x:cell>
          <x:cell r="Q20">
            <x:v>1</x:v>
          </x:cell>
        </x:row>
        <x:row r="21">
          <x:cell r="E21">
            <x:v>1</x:v>
          </x:cell>
          <x:cell r="I21">
            <x:v>4</x:v>
          </x:cell>
          <x:cell r="Q21">
            <x:v>2</x:v>
          </x:cell>
        </x:row>
        <x:row r="22">
          <x:cell r="I22">
            <x:v>5</x:v>
          </x:cell>
          <x:cell r="J22">
            <x:v>1</x:v>
          </x:cell>
          <x:cell r="Q22">
            <x:v>4</x:v>
          </x:cell>
        </x:row>
        <x:row r="23">
          <x:cell r="E23">
            <x:v>3</x:v>
          </x:cell>
          <x:cell r="I23">
            <x:v>18</x:v>
          </x:cell>
          <x:cell r="Q23">
            <x:v>1</x:v>
          </x:cell>
        </x:row>
        <x:row r="24">
          <x:cell r="I24">
            <x:v>4</x:v>
          </x:cell>
        </x:row>
        <x:row r="25">
          <x:cell r="I25">
            <x:v>17</x:v>
          </x:cell>
        </x:row>
        <x:row r="26">
          <x:cell r="E26">
            <x:v>2</x:v>
          </x:cell>
          <x:cell r="I26">
            <x:v>10</x:v>
          </x:cell>
          <x:cell r="Q26">
            <x:v>1</x:v>
          </x:cell>
        </x:row>
        <x:row r="27">
          <x:cell r="E27">
            <x:v>2</x:v>
          </x:cell>
          <x:cell r="I27">
            <x:v>8</x:v>
          </x:cell>
          <x:cell r="Q27">
            <x:v>2</x:v>
          </x:cell>
        </x:row>
        <x:row r="28">
          <x:cell r="E28">
            <x:v>1</x:v>
          </x:cell>
          <x:cell r="I28">
            <x:v>7</x:v>
          </x:cell>
          <x:cell r="Q28">
            <x:v>1</x:v>
          </x:cell>
        </x:row>
        <x:row r="29">
          <x:cell r="E29">
            <x:v>0</x:v>
          </x:cell>
          <x:cell r="I29">
            <x:v>0</x:v>
          </x:cell>
          <x:cell r="K29">
            <x:v>1</x:v>
          </x:cell>
          <x:cell r="L29">
            <x:v>4</x:v>
          </x:cell>
          <x:cell r="Q29">
            <x:v>1</x:v>
          </x:cell>
        </x:row>
        <x:row r="30">
          <x:cell r="E30">
            <x:v>1</x:v>
          </x:cell>
          <x:cell r="I30">
            <x:v>5</x:v>
          </x:cell>
          <x:cell r="Q30">
            <x:v>2</x:v>
          </x:cell>
        </x:row>
        <x:row r="31">
          <x:cell r="E31">
            <x:v>2</x:v>
          </x:cell>
          <x:cell r="I31">
            <x:v>13</x:v>
          </x:cell>
          <x:cell r="Q31">
            <x:v>0</x:v>
          </x:cell>
        </x:row>
        <x:row r="32">
          <x:cell r="E32">
            <x:v>1</x:v>
          </x:cell>
          <x:cell r="I32">
            <x:v>4</x:v>
          </x:cell>
          <x:cell r="Q32">
            <x:v>1</x:v>
          </x:cell>
        </x:row>
        <x:row r="33">
          <x:cell r="E33">
            <x:v>1</x:v>
          </x:cell>
          <x:cell r="I33">
            <x:v>4</x:v>
          </x:cell>
          <x:cell r="Q33">
            <x:v>1</x:v>
          </x:cell>
        </x:row>
        <x:row r="34">
          <x:cell r="E34"/>
          <x:cell r="I34"/>
          <x:cell r="Q34">
            <x:v>0</x:v>
          </x:cell>
        </x:row>
        <x:row r="35">
          <x:cell r="Q35">
            <x:v>2</x:v>
          </x:cell>
        </x:row>
      </x:sheetData>
      <x:sheetData sheetId="36" refreshError="0">
        <x:row r="25">
          <x:cell r="I25"/>
        </x:row>
      </x:sheetData>
      <x:sheetData sheetId="37" refreshError="0"/>
      <x:sheetData sheetId="38" refreshError="0"/>
      <x:sheetData sheetId="39" refreshError="0"/>
      <x:sheetData sheetId="40" refreshError="0"/>
    </x:sheetDataSet>
  </x:externalBook>
</x:externalLink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L29"/>
  <x:sheetViews>
    <x:sheetView tabSelected="1" topLeftCell="A1" zoomScaleNormal="100" zoomScaleSheetLayoutView="100" workbookViewId="0">
      <x:selection activeCell="A2" activeCellId="0" sqref="A2:J29"/>
    </x:sheetView>
  </x:sheetViews>
  <x:sheetFormatPr defaultColWidth="9.00390625" defaultRowHeight="16.39999999999999857891"/>
  <x:cols>
    <x:col min="10" max="10" width="15.4375" bestFit="1" customWidth="1"/>
  </x:cols>
  <x:sheetData>
    <x:row r="1" spans="1:12">
      <x:c r="A1" t="s">
        <x:v>121</x:v>
      </x:c>
      <x:c r="B1" t="s">
        <x:v>120</x:v>
      </x:c>
      <x:c r="C1" t="s">
        <x:v>95</x:v>
      </x:c>
      <x:c r="D1" t="s">
        <x:v>96</x:v>
      </x:c>
      <x:c r="E1" t="s">
        <x:v>119</x:v>
      </x:c>
      <x:c r="F1" t="s">
        <x:v>92</x:v>
      </x:c>
      <x:c r="G1" t="s">
        <x:v>118</x:v>
      </x:c>
      <x:c r="H1" t="s">
        <x:v>117</x:v>
      </x:c>
      <x:c r="I1" t="s">
        <x:v>93</x:v>
      </x:c>
      <x:c r="J1" t="s">
        <x:v>94</x:v>
      </x:c>
      <x:c r="K1" t="s">
        <x:v>86</x:v>
      </x:c>
      <x:c r="L1" t="s">
        <x:v>90</x:v>
      </x:c>
    </x:row>
    <x:row r="2" spans="1:12" ht="39.54999999999999715783">
      <x:c r="A2" s="1" t="s">
        <x:v>32</x:v>
      </x:c>
      <x:c r="B2" s="1" t="s">
        <x:v>87</x:v>
      </x:c>
      <x:c r="C2" s="1" t="s">
        <x:v>91</x:v>
      </x:c>
      <x:c r="D2" s="1" t="s">
        <x:v>111</x:v>
      </x:c>
      <x:c r="E2" s="1" t="s">
        <x:v>17</x:v>
      </x:c>
      <x:c r="F2" s="2">
        <x:v>0</x:v>
      </x:c>
      <x:c r="G2" s="3">
        <x:f>'[1]학교급설치현황(고)'!I25</x:f>
        <x:v>0</x:v>
      </x:c>
      <x:c r="H2" s="4">
        <x:f>'[1]학교급설치현황(중)'!Q35</x:f>
        <x:v>2</x:v>
      </x:c>
      <x:c r="I2" s="5" t="s">
        <x:v>91</x:v>
      </x:c>
      <x:c r="J2" s="6"/>
      <x:c r="K2" s="7">
        <x:v>37.346265061251103</x:v>
      </x:c>
      <x:c r="L2" s="7">
        <x:v>126.743175702763</x:v>
      </x:c>
    </x:row>
    <x:row r="3" spans="1:12" ht="39.54999999999999715783">
      <x:c r="A3" s="1" t="s">
        <x:v>39</x:v>
      </x:c>
      <x:c r="B3" s="1" t="s">
        <x:v>87</x:v>
      </x:c>
      <x:c r="C3" s="1" t="s">
        <x:v>116</x:v>
      </x:c>
      <x:c r="D3" s="1" t="s">
        <x:v>112</x:v>
      </x:c>
      <x:c r="E3" s="1" t="s">
        <x:v>1</x:v>
      </x:c>
      <x:c r="F3" s="8" t="str">
        <x:f>'[1]학교급설치현황(중)'!E7&amp;"/ "&amp;'[1]학교급설치현황(중)'!K7</x:f>
        <x:v>4/ 1</x:v>
      </x:c>
      <x:c r="G3" s="9" t="str">
        <x:f>'[1]학교급설치현황(중)'!I7&amp;"/ "&amp;'[1]학교급설치현황(중)'!L7</x:f>
        <x:v>23/ 2</x:v>
      </x:c>
      <x:c r="H3" s="4">
        <x:f>'[1]학교급설치현황(중)'!Q7</x:f>
        <x:v>1</x:v>
      </x:c>
      <x:c r="I3" s="5" t="s">
        <x:v>91</x:v>
      </x:c>
      <x:c r="J3" s="6" t="s">
        <x:v>69</x:v>
      </x:c>
      <x:c r="K3" s="7">
        <x:v>37.351028001392201</x:v>
      </x:c>
      <x:c r="L3" s="7">
        <x:v>126.78527524838999</x:v>
      </x:c>
    </x:row>
    <x:row r="4" spans="1:12" ht="52.70000000000000284217">
      <x:c r="A4" s="1" t="s">
        <x:v>47</x:v>
      </x:c>
      <x:c r="B4" s="1" t="s">
        <x:v>87</x:v>
      </x:c>
      <x:c r="C4" s="1" t="s">
        <x:v>44</x:v>
      </x:c>
      <x:c r="D4" s="1" t="s">
        <x:v>80</x:v>
      </x:c>
      <x:c r="E4" s="1" t="s">
        <x:v>3</x:v>
      </x:c>
      <x:c r="F4" s="10">
        <x:f>'[1]학교급설치현황(중)'!E8</x:f>
        <x:v>2</x:v>
      </x:c>
      <x:c r="G4" s="4">
        <x:f>'[1]학교급설치현황(중)'!I8</x:f>
        <x:v>9</x:v>
      </x:c>
      <x:c r="H4" s="4">
        <x:f>'[1]학교급설치현황(중)'!Q8</x:f>
        <x:v>0</x:v>
      </x:c>
      <x:c r="I4" s="5" t="s">
        <x:v>89</x:v>
      </x:c>
      <x:c r="J4" s="6"/>
      <x:c r="K4" s="7">
        <x:v>37.389011600000003</x:v>
      </x:c>
      <x:c r="L4" s="7">
        <x:v>126.85752599999999</x:v>
      </x:c>
    </x:row>
    <x:row r="5" spans="1:12" ht="76.84999999999999431566">
      <x:c r="A5" s="1" t="s">
        <x:v>41</x:v>
      </x:c>
      <x:c r="B5" s="1" t="s">
        <x:v>87</x:v>
      </x:c>
      <x:c r="C5" s="1" t="s">
        <x:v>56</x:v>
      </x:c>
      <x:c r="D5" s="11" t="s">
        <x:v>110</x:v>
      </x:c>
      <x:c r="E5" s="1" t="s">
        <x:v>0</x:v>
      </x:c>
      <x:c r="F5" s="10">
        <x:f>'[1]학교급설치현황(중)'!E9</x:f>
        <x:v>1</x:v>
      </x:c>
      <x:c r="G5" s="4">
        <x:f>'[1]학교급설치현황(중)'!I9</x:f>
        <x:v>4</x:v>
      </x:c>
      <x:c r="H5" s="4">
        <x:f>'[1]학교급설치현황(중)'!Q9</x:f>
        <x:v>0</x:v>
      </x:c>
      <x:c r="I5" s="5" t="s">
        <x:v>91</x:v>
      </x:c>
      <x:c r="J5" s="6"/>
      <x:c r="K5" s="7">
        <x:v>37.447363226451699</x:v>
      </x:c>
      <x:c r="L5" s="7">
        <x:v>126.78427695413301</x:v>
      </x:c>
    </x:row>
    <x:row r="6" spans="1:12" ht="39.54999999999999715783">
      <x:c r="A6" s="1" t="s">
        <x:v>51</x:v>
      </x:c>
      <x:c r="B6" s="1" t="s">
        <x:v>87</x:v>
      </x:c>
      <x:c r="C6" s="1" t="s">
        <x:v>68</x:v>
      </x:c>
      <x:c r="D6" s="1" t="s">
        <x:v>102</x:v>
      </x:c>
      <x:c r="E6" s="1" t="s">
        <x:v>14</x:v>
      </x:c>
      <x:c r="F6" s="10">
        <x:f>'[1]학교급설치현황(중)'!E11</x:f>
        <x:v>1</x:v>
      </x:c>
      <x:c r="G6" s="4">
        <x:f>'[1]학교급설치현황(중)'!I11</x:f>
        <x:v>5</x:v>
      </x:c>
      <x:c r="H6" s="4">
        <x:f>'[1]학교급설치현황(중)'!Q11</x:f>
        <x:v>1</x:v>
      </x:c>
      <x:c r="I6" s="5" t="s">
        <x:v>91</x:v>
      </x:c>
      <x:c r="J6" s="6"/>
      <x:c r="K6" s="7">
        <x:v>37.368947950808</x:v>
      </x:c>
      <x:c r="L6" s="7">
        <x:v>126.722637804109</x:v>
      </x:c>
    </x:row>
    <x:row r="7" spans="1:12" ht="39.54999999999999715783">
      <x:c r="A7" s="1" t="s">
        <x:v>55</x:v>
      </x:c>
      <x:c r="B7" s="1" t="s">
        <x:v>87</x:v>
      </x:c>
      <x:c r="C7" s="1" t="s">
        <x:v>68</x:v>
      </x:c>
      <x:c r="D7" s="1" t="s">
        <x:v>5</x:v>
      </x:c>
      <x:c r="E7" s="1" t="s">
        <x:v>8</x:v>
      </x:c>
      <x:c r="F7" s="10">
        <x:f>'[1]학교급설치현황(중)'!E10</x:f>
        <x:v>2</x:v>
      </x:c>
      <x:c r="G7" s="4">
        <x:f>'[1]학교급설치현황(중)'!I10</x:f>
        <x:v>15</x:v>
      </x:c>
      <x:c r="H7" s="4">
        <x:f>'[1]학교급설치현황(중)'!Q10</x:f>
        <x:v>3</x:v>
      </x:c>
      <x:c r="I7" s="5" t="s">
        <x:v>89</x:v>
      </x:c>
      <x:c r="J7" s="6"/>
      <x:c r="K7" s="7">
        <x:v>37.3749452877396</x:v>
      </x:c>
      <x:c r="L7" s="7">
        <x:v>126.730883482122</x:v>
      </x:c>
    </x:row>
    <x:row r="8" spans="1:12" ht="52.70000000000000284217">
      <x:c r="A8" s="1" t="s">
        <x:v>50</x:v>
      </x:c>
      <x:c r="B8" s="1" t="s">
        <x:v>87</x:v>
      </x:c>
      <x:c r="C8" s="1" t="s">
        <x:v>68</x:v>
      </x:c>
      <x:c r="D8" s="1" t="s">
        <x:v>77</x:v>
      </x:c>
      <x:c r="E8" s="1" t="s">
        <x:v>85</x:v>
      </x:c>
      <x:c r="F8" s="10">
        <x:f>'[1]학교급설치현황(중)'!E12</x:f>
        <x:v>2</x:v>
      </x:c>
      <x:c r="G8" s="4">
        <x:f>'[1]학교급설치현황(중)'!I12</x:f>
        <x:v>9</x:v>
      </x:c>
      <x:c r="H8" s="4">
        <x:f>'[1]학교급설치현황(중)'!Q12</x:f>
        <x:v>7</x:v>
      </x:c>
      <x:c r="I8" s="5" t="s">
        <x:v>89</x:v>
      </x:c>
      <x:c r="J8" s="6"/>
      <x:c r="K8" s="7">
        <x:v>37.359801448601601</x:v>
      </x:c>
      <x:c r="L8" s="7">
        <x:v>126.717599834288</x:v>
      </x:c>
    </x:row>
    <x:row r="9" spans="1:12" ht="39.54999999999999715783">
      <x:c r="A9" s="1" t="s">
        <x:v>97</x:v>
      </x:c>
      <x:c r="B9" s="1" t="s">
        <x:v>87</x:v>
      </x:c>
      <x:c r="C9" s="1" t="s">
        <x:v>45</x:v>
      </x:c>
      <x:c r="D9" s="1" t="s">
        <x:v>105</x:v>
      </x:c>
      <x:c r="E9" s="1" t="s">
        <x:v>75</x:v>
      </x:c>
      <x:c r="F9" s="12">
        <x:f>'[1]학교급설치현황(중)'!E13</x:f>
        <x:v>3</x:v>
      </x:c>
      <x:c r="G9" s="4">
        <x:f>'[1]학교급설치현황(중)'!I13</x:f>
        <x:v>12</x:v>
      </x:c>
      <x:c r="H9" s="4">
        <x:f>'[1]학교급설치현황(중)'!Q13</x:f>
        <x:v>2</x:v>
      </x:c>
      <x:c r="I9" s="5" t="s">
        <x:v>89</x:v>
      </x:c>
      <x:c r="J9" s="6"/>
      <x:c r="K9" s="7">
        <x:v>37.375360271240602</x:v>
      </x:c>
      <x:c r="L9" s="7">
        <x:v>126.846021734564</x:v>
      </x:c>
    </x:row>
    <x:row r="10" spans="1:12" ht="52.70000000000000284217">
      <x:c r="A10" s="1" t="s">
        <x:v>42</x:v>
      </x:c>
      <x:c r="B10" s="1" t="s">
        <x:v>87</x:v>
      </x:c>
      <x:c r="C10" s="1" t="s">
        <x:v>114</x:v>
      </x:c>
      <x:c r="D10" s="1" t="s">
        <x:v>76</x:v>
      </x:c>
      <x:c r="E10" s="1" t="s">
        <x:v>23</x:v>
      </x:c>
      <x:c r="F10" s="10">
        <x:f>'[1]학교급설치현황(중)'!E14</x:f>
        <x:v>2</x:v>
      </x:c>
      <x:c r="G10" s="4">
        <x:f>'[1]학교급설치현황(중)'!I14</x:f>
        <x:v>14</x:v>
      </x:c>
      <x:c r="H10" s="4">
        <x:f>'[1]학교급설치현황(중)'!Q14</x:f>
        <x:v>0</x:v>
      </x:c>
      <x:c r="I10" s="5" t="s">
        <x:v>91</x:v>
      </x:c>
      <x:c r="J10" s="6"/>
      <x:c r="K10" s="7">
        <x:v>37.3572057244983</x:v>
      </x:c>
      <x:c r="L10" s="7">
        <x:v>126.726084190238</x:v>
      </x:c>
    </x:row>
    <x:row r="11" spans="1:12" ht="39.54999999999999715783">
      <x:c r="A11" s="1" t="s">
        <x:v>49</x:v>
      </x:c>
      <x:c r="B11" s="1" t="s">
        <x:v>87</x:v>
      </x:c>
      <x:c r="C11" s="1" t="s">
        <x:v>56</x:v>
      </x:c>
      <x:c r="D11" s="1" t="s">
        <x:v>84</x:v>
      </x:c>
      <x:c r="E11" s="1" t="s">
        <x:v>71</x:v>
      </x:c>
      <x:c r="F11" s="10">
        <x:f>'[1]학교급설치현황(중)'!E15</x:f>
        <x:v>2</x:v>
      </x:c>
      <x:c r="G11" s="4">
        <x:f>'[1]학교급설치현황(중)'!I15</x:f>
        <x:v>10</x:v>
      </x:c>
      <x:c r="H11" s="4">
        <x:f>'[1]학교급설치현황(중)'!Q15</x:f>
        <x:v>4</x:v>
      </x:c>
      <x:c r="I11" s="5" t="s">
        <x:v>91</x:v>
      </x:c>
      <x:c r="J11" s="6"/>
      <x:c r="K11" s="7">
        <x:v>37.437405854711699</x:v>
      </x:c>
      <x:c r="L11" s="7">
        <x:v>126.79683444258799</x:v>
      </x:c>
    </x:row>
    <x:row r="12" spans="1:12" ht="52.70000000000000284217">
      <x:c r="A12" s="1" t="s">
        <x:v>37</x:v>
      </x:c>
      <x:c r="B12" s="1" t="s">
        <x:v>87</x:v>
      </x:c>
      <x:c r="C12" s="1" t="s">
        <x:v>114</x:v>
      </x:c>
      <x:c r="D12" s="1" t="s">
        <x:v>81</x:v>
      </x:c>
      <x:c r="E12" s="1" t="s">
        <x:v>2</x:v>
      </x:c>
      <x:c r="F12" s="10">
        <x:f>'[1]학교급설치현황(중)'!E16</x:f>
        <x:v>2</x:v>
      </x:c>
      <x:c r="G12" s="4">
        <x:f>'[1]학교급설치현황(중)'!I16</x:f>
        <x:v>8</x:v>
      </x:c>
      <x:c r="H12" s="4">
        <x:f>'[1]학교급설치현황(중)'!Q16</x:f>
        <x:v>2</x:v>
      </x:c>
      <x:c r="I12" s="5" t="s">
        <x:v>91</x:v>
      </x:c>
      <x:c r="J12" s="6"/>
      <x:c r="K12" s="7">
        <x:v>37.3594235921055</x:v>
      </x:c>
      <x:c r="L12" s="7">
        <x:v>126.731385911671</x:v>
      </x:c>
    </x:row>
    <x:row r="13" spans="1:12" ht="39.54999999999999715783">
      <x:c r="A13" s="1" t="s">
        <x:v>73</x:v>
      </x:c>
      <x:c r="B13" s="1" t="s">
        <x:v>87</x:v>
      </x:c>
      <x:c r="C13" s="1" t="s">
        <x:v>57</x:v>
      </x:c>
      <x:c r="D13" s="1" t="s">
        <x:v>99</x:v>
      </x:c>
      <x:c r="E13" s="1" t="s">
        <x:v>22</x:v>
      </x:c>
      <x:c r="F13" s="12">
        <x:f>'[1]학교급설치현황(중)'!E17</x:f>
        <x:v>4</x:v>
      </x:c>
      <x:c r="G13" s="4">
        <x:f>'[1]학교급설치현황(중)'!I17</x:f>
        <x:v>16</x:v>
      </x:c>
      <x:c r="H13" s="4">
        <x:f>'[1]학교급설치현황(중)'!Q17</x:f>
        <x:v>0</x:v>
      </x:c>
      <x:c r="I13" s="5" t="s">
        <x:v>89</x:v>
      </x:c>
      <x:c r="J13" s="6"/>
      <x:c r="K13" s="7">
        <x:v>37.321340388702303</x:v>
      </x:c>
      <x:c r="L13" s="7">
        <x:v>126.687909434273</x:v>
      </x:c>
    </x:row>
    <x:row r="14" spans="1:12" ht="52.70000000000000284217">
      <x:c r="A14" s="1" t="s">
        <x:v>60</x:v>
      </x:c>
      <x:c r="B14" s="1" t="s">
        <x:v>87</x:v>
      </x:c>
      <x:c r="C14" s="1" t="s">
        <x:v>114</x:v>
      </x:c>
      <x:c r="D14" s="1" t="s">
        <x:v>100</x:v>
      </x:c>
      <x:c r="E14" s="1" t="s">
        <x:v>15</x:v>
      </x:c>
      <x:c r="F14" s="10">
        <x:f>'[1]학교급설치현황(중)'!E18</x:f>
        <x:v>2</x:v>
      </x:c>
      <x:c r="G14" s="4">
        <x:f>'[1]학교급설치현황(중)'!I18</x:f>
        <x:v>13</x:v>
      </x:c>
      <x:c r="H14" s="4">
        <x:f>'[1]학교급설치현황(중)'!Q18</x:f>
        <x:v>0</x:v>
      </x:c>
      <x:c r="I14" s="5" t="s">
        <x:v>89</x:v>
      </x:c>
      <x:c r="J14" s="6"/>
      <x:c r="K14" s="7">
        <x:v>37.340998898377897</x:v>
      </x:c>
      <x:c r="L14" s="7">
        <x:v>126.756111631114</x:v>
      </x:c>
    </x:row>
    <x:row r="15" spans="1:12" ht="39.54999999999999715783">
      <x:c r="A15" s="1" t="s">
        <x:v>113</x:v>
      </x:c>
      <x:c r="B15" s="1" t="s">
        <x:v>87</x:v>
      </x:c>
      <x:c r="C15" s="1" t="s">
        <x:v>36</x:v>
      </x:c>
      <x:c r="D15" s="1" t="s">
        <x:v>107</x:v>
      </x:c>
      <x:c r="E15" s="1" t="s">
        <x:v>24</x:v>
      </x:c>
      <x:c r="F15" s="10">
        <x:f>'[1]학교급설치현황(중)'!E19</x:f>
        <x:v>2</x:v>
      </x:c>
      <x:c r="G15" s="4">
        <x:f>'[1]학교급설치현황(중)'!I19</x:f>
        <x:v>8</x:v>
      </x:c>
      <x:c r="H15" s="4">
        <x:f>'[1]학교급설치현황(중)'!Q19</x:f>
        <x:v>1</x:v>
      </x:c>
      <x:c r="I15" s="5" t="s">
        <x:v>91</x:v>
      </x:c>
      <x:c r="J15" s="6"/>
      <x:c r="K15" s="7">
        <x:v>37.373674338556398</x:v>
      </x:c>
      <x:c r="L15" s="7">
        <x:v>126.795420214605</x:v>
      </x:c>
    </x:row>
    <x:row r="16" spans="1:12" ht="39.54999999999999715783">
      <x:c r="A16" s="1" t="s">
        <x:v>58</x:v>
      </x:c>
      <x:c r="B16" s="1" t="s">
        <x:v>87</x:v>
      </x:c>
      <x:c r="C16" s="1" t="s">
        <x:v>65</x:v>
      </x:c>
      <x:c r="D16" s="1" t="s">
        <x:v>21</x:v>
      </x:c>
      <x:c r="E16" s="1" t="s">
        <x:v>27</x:v>
      </x:c>
      <x:c r="F16" s="10">
        <x:f>'[1]학교급설치현황(중)'!E20</x:f>
        <x:v>2</x:v>
      </x:c>
      <x:c r="G16" s="4">
        <x:f>'[1]학교급설치현황(중)'!I20</x:f>
        <x:v>8</x:v>
      </x:c>
      <x:c r="H16" s="4">
        <x:f>'[1]학교급설치현황(중)'!Q20</x:f>
        <x:v>1</x:v>
      </x:c>
      <x:c r="I16" s="5" t="s">
        <x:v>91</x:v>
      </x:c>
      <x:c r="J16" s="6"/>
      <x:c r="K16" s="7">
        <x:v>37.365220481029901</x:v>
      </x:c>
      <x:c r="L16" s="7">
        <x:v>126.814838259753</x:v>
      </x:c>
    </x:row>
    <x:row r="17" spans="1:12" ht="39.54999999999999715783">
      <x:c r="A17" s="1" t="s">
        <x:v>67</x:v>
      </x:c>
      <x:c r="B17" s="1" t="s">
        <x:v>87</x:v>
      </x:c>
      <x:c r="C17" s="1" t="s">
        <x:v>59</x:v>
      </x:c>
      <x:c r="D17" s="1" t="s">
        <x:v>16</x:v>
      </x:c>
      <x:c r="E17" s="1" t="s">
        <x:v>25</x:v>
      </x:c>
      <x:c r="F17" s="10">
        <x:f>'[1]학교급설치현황(중)'!E21</x:f>
        <x:v>1</x:v>
      </x:c>
      <x:c r="G17" s="4">
        <x:f>'[1]학교급설치현황(중)'!I21</x:f>
        <x:v>4</x:v>
      </x:c>
      <x:c r="H17" s="4">
        <x:f>'[1]학교급설치현황(중)'!Q21</x:f>
        <x:v>2</x:v>
      </x:c>
      <x:c r="I17" s="5" t="s">
        <x:v>91</x:v>
      </x:c>
      <x:c r="J17" s="6"/>
      <x:c r="K17" s="7">
        <x:v>37.413128011035099</x:v>
      </x:c>
      <x:c r="L17" s="7">
        <x:v>126.816121087459</x:v>
      </x:c>
    </x:row>
    <x:row r="18" spans="1:12" ht="52.70000000000000284217">
      <x:c r="A18" s="1" t="s">
        <x:v>52</x:v>
      </x:c>
      <x:c r="B18" s="1" t="s">
        <x:v>87</x:v>
      </x:c>
      <x:c r="C18" s="1" t="s">
        <x:v>56</x:v>
      </x:c>
      <x:c r="D18" s="1" t="s">
        <x:v>79</x:v>
      </x:c>
      <x:c r="E18" s="1" t="s">
        <x:v>20</x:v>
      </x:c>
      <x:c r="F18" s="10">
        <x:f>'[1]학교급설치현황(중)'!J22</x:f>
        <x:v>1</x:v>
      </x:c>
      <x:c r="G18" s="4">
        <x:f>'[1]학교급설치현황(중)'!I22</x:f>
        <x:v>5</x:v>
      </x:c>
      <x:c r="H18" s="4">
        <x:f>'[1]학교급설치현황(중)'!Q22</x:f>
        <x:v>4</x:v>
      </x:c>
      <x:c r="I18" s="5" t="s">
        <x:v>91</x:v>
      </x:c>
      <x:c r="J18" s="6"/>
      <x:c r="K18" s="7">
        <x:v>37.442845248322399</x:v>
      </x:c>
      <x:c r="L18" s="7">
        <x:v>126.80212976463901</x:v>
      </x:c>
    </x:row>
    <x:row r="19" spans="1:12" ht="52.70000000000000284217">
      <x:c r="A19" s="1" t="s">
        <x:v>61</x:v>
      </x:c>
      <x:c r="B19" s="1" t="s">
        <x:v>87</x:v>
      </x:c>
      <x:c r="C19" s="1" t="s">
        <x:v>114</x:v>
      </x:c>
      <x:c r="D19" s="1" t="s">
        <x:v>78</x:v>
      </x:c>
      <x:c r="E19" s="1" t="s">
        <x:v>19</x:v>
      </x:c>
      <x:c r="F19" s="10">
        <x:f>'[1]학교급설치현황(중)'!E23</x:f>
        <x:v>3</x:v>
      </x:c>
      <x:c r="G19" s="4">
        <x:f>'[1]학교급설치현황(중)'!I23</x:f>
        <x:v>18</x:v>
      </x:c>
      <x:c r="H19" s="4">
        <x:f>'[1]학교급설치현황(중)'!Q23</x:f>
        <x:v>1</x:v>
      </x:c>
      <x:c r="I19" s="5" t="s">
        <x:v>89</x:v>
      </x:c>
      <x:c r="J19" s="6"/>
      <x:c r="K19" s="14" t="s">
        <x:v>29</x:v>
      </x:c>
      <x:c r="L19" s="14" t="s">
        <x:v>31</x:v>
      </x:c>
    </x:row>
    <x:row r="20" spans="1:12" ht="39.54999999999999715783">
      <x:c r="A20" s="1" t="s">
        <x:v>33</x:v>
      </x:c>
      <x:c r="B20" s="1" t="s">
        <x:v>87</x:v>
      </x:c>
      <x:c r="C20" s="1" t="s">
        <x:v>56</x:v>
      </x:c>
      <x:c r="D20" s="1" t="s">
        <x:v>109</x:v>
      </x:c>
      <x:c r="E20" s="1" t="s">
        <x:v>18</x:v>
      </x:c>
      <x:c r="F20" s="10" t="s">
        <x:v>83</x:v>
      </x:c>
      <x:c r="G20" s="4">
        <x:f>'[1]학교급설치현황(중)'!I24</x:f>
        <x:v>4</x:v>
      </x:c>
      <x:c r="H20" s="4">
        <x:f>'[1]학교급설치현황(중)'!I25</x:f>
        <x:v>17</x:v>
      </x:c>
      <x:c r="I20" s="5" t="s">
        <x:v>89</x:v>
      </x:c>
      <x:c r="J20" s="6" t="s">
        <x:v>64</x:v>
      </x:c>
      <x:c r="K20" s="14" t="s">
        <x:v>66</x:v>
      </x:c>
      <x:c r="L20" s="14" t="s">
        <x:v>30</x:v>
      </x:c>
    </x:row>
    <x:row r="21" spans="1:12" ht="39.54999999999999715783">
      <x:c r="A21" s="1" t="s">
        <x:v>46</x:v>
      </x:c>
      <x:c r="B21" s="1" t="s">
        <x:v>87</x:v>
      </x:c>
      <x:c r="C21" s="1" t="s">
        <x:v>35</x:v>
      </x:c>
      <x:c r="D21" s="1" t="s">
        <x:v>103</x:v>
      </x:c>
      <x:c r="E21" s="1" t="s">
        <x:v>26</x:v>
      </x:c>
      <x:c r="F21" s="10">
        <x:f>'[1]학교급설치현황(중)'!E26</x:f>
        <x:v>2</x:v>
      </x:c>
      <x:c r="G21" s="4">
        <x:f>'[1]학교급설치현황(중)'!I26</x:f>
        <x:v>10</x:v>
      </x:c>
      <x:c r="H21" s="4">
        <x:f>'[1]학교급설치현황(중)'!Q26</x:f>
        <x:v>1</x:v>
      </x:c>
      <x:c r="I21" s="5" t="s">
        <x:v>89</x:v>
      </x:c>
      <x:c r="J21" s="6"/>
      <x:c r="K21" s="7">
        <x:v>37.3924887004816</x:v>
      </x:c>
      <x:c r="L21" s="7">
        <x:v>126.813410317318</x:v>
      </x:c>
    </x:row>
    <x:row r="22" spans="1:12" ht="39.54999999999999715783">
      <x:c r="A22" s="1" t="s">
        <x:v>53</x:v>
      </x:c>
      <x:c r="B22" s="1" t="s">
        <x:v>87</x:v>
      </x:c>
      <x:c r="C22" s="1" t="s">
        <x:v>38</x:v>
      </x:c>
      <x:c r="D22" s="1" t="s">
        <x:v>104</x:v>
      </x:c>
      <x:c r="E22" s="1" t="s">
        <x:v>13</x:v>
      </x:c>
      <x:c r="F22" s="10">
        <x:f>'[1]학교급설치현황(중)'!E27</x:f>
        <x:v>2</x:v>
      </x:c>
      <x:c r="G22" s="4">
        <x:f>'[1]학교급설치현황(중)'!I27</x:f>
        <x:v>8</x:v>
      </x:c>
      <x:c r="H22" s="4">
        <x:f>'[1]학교급설치현황(중)'!Q27</x:f>
        <x:v>2</x:v>
      </x:c>
      <x:c r="I22" s="5" t="s">
        <x:v>89</x:v>
      </x:c>
      <x:c r="J22" s="6"/>
      <x:c r="K22" s="7">
        <x:v>37.392768577157</x:v>
      </x:c>
      <x:c r="L22" s="7">
        <x:v>126.737785176781</x:v>
      </x:c>
    </x:row>
    <x:row r="23" spans="1:12" ht="52.70000000000000284217">
      <x:c r="A23" s="1" t="s">
        <x:v>115</x:v>
      </x:c>
      <x:c r="B23" s="1" t="s">
        <x:v>87</x:v>
      </x:c>
      <x:c r="C23" s="1" t="s">
        <x:v>56</x:v>
      </x:c>
      <x:c r="D23" s="1" t="s">
        <x:v>108</x:v>
      </x:c>
      <x:c r="E23" s="1" t="s">
        <x:v>6</x:v>
      </x:c>
      <x:c r="F23" s="10">
        <x:f>'[1]학교급설치현황(중)'!E28</x:f>
        <x:v>1</x:v>
      </x:c>
      <x:c r="G23" s="4">
        <x:f>'[1]학교급설치현황(중)'!I28</x:f>
        <x:v>7</x:v>
      </x:c>
      <x:c r="H23" s="4">
        <x:f>'[1]학교급설치현황(중)'!Q28</x:f>
        <x:v>1</x:v>
      </x:c>
      <x:c r="I23" s="5" t="s">
        <x:v>91</x:v>
      </x:c>
      <x:c r="J23" s="6"/>
      <x:c r="K23" s="7">
        <x:v>37.4472324521697</x:v>
      </x:c>
      <x:c r="L23" s="7">
        <x:v>126.800089681649</x:v>
      </x:c>
    </x:row>
    <x:row r="24" spans="1:12" ht="52.70000000000000284217">
      <x:c r="A24" s="1" t="s">
        <x:v>54</x:v>
      </x:c>
      <x:c r="B24" s="1" t="s">
        <x:v>87</x:v>
      </x:c>
      <x:c r="C24" s="1" t="s">
        <x:v>36</x:v>
      </x:c>
      <x:c r="D24" s="1" t="s">
        <x:v>106</x:v>
      </x:c>
      <x:c r="E24" s="1" t="s">
        <x:v>70</x:v>
      </x:c>
      <x:c r="F24" s="13">
        <x:f>'[1]학교급설치현황(중)'!E29+'[1]학교급설치현황(중)'!K29</x:f>
        <x:v>1</x:v>
      </x:c>
      <x:c r="G24" s="4">
        <x:f>'[1]학교급설치현황(중)'!I29+'[1]학교급설치현황(중)'!L29</x:f>
        <x:v>4</x:v>
      </x:c>
      <x:c r="H24" s="4">
        <x:f>'[1]학교급설치현황(중)'!Q29</x:f>
        <x:v>1</x:v>
      </x:c>
      <x:c r="I24" s="5" t="s">
        <x:v>91</x:v>
      </x:c>
      <x:c r="J24" s="6"/>
      <x:c r="K24" s="7">
        <x:v>37.380649772973001</x:v>
      </x:c>
      <x:c r="L24" s="7">
        <x:v>126.783122310221</x:v>
      </x:c>
    </x:row>
    <x:row r="25" spans="1:12" ht="39.54999999999999715783">
      <x:c r="A25" s="1" t="s">
        <x:v>43</x:v>
      </x:c>
      <x:c r="B25" s="1" t="s">
        <x:v>87</x:v>
      </x:c>
      <x:c r="C25" s="1" t="s">
        <x:v>36</x:v>
      </x:c>
      <x:c r="D25" s="1" t="s">
        <x:v>7</x:v>
      </x:c>
      <x:c r="E25" s="1" t="s">
        <x:v>4</x:v>
      </x:c>
      <x:c r="F25" s="10">
        <x:f>'[1]학교급설치현황(중)'!E30</x:f>
        <x:v>1</x:v>
      </x:c>
      <x:c r="G25" s="4">
        <x:f>'[1]학교급설치현황(중)'!I30</x:f>
        <x:v>5</x:v>
      </x:c>
      <x:c r="H25" s="4">
        <x:f>'[1]학교급설치현황(중)'!Q30</x:f>
        <x:v>2</x:v>
      </x:c>
      <x:c r="I25" s="5" t="s">
        <x:v>91</x:v>
      </x:c>
      <x:c r="J25" s="6"/>
      <x:c r="K25" s="7">
        <x:v>37.379850681084697</x:v>
      </x:c>
      <x:c r="L25" s="7">
        <x:v>126.787654510317</x:v>
      </x:c>
    </x:row>
    <x:row r="26" spans="1:12" ht="52.70000000000000284217">
      <x:c r="A26" s="1" t="s">
        <x:v>48</x:v>
      </x:c>
      <x:c r="B26" s="1" t="s">
        <x:v>87</x:v>
      </x:c>
      <x:c r="C26" s="1" t="s">
        <x:v>114</x:v>
      </x:c>
      <x:c r="D26" s="1" t="s">
        <x:v>82</x:v>
      </x:c>
      <x:c r="E26" s="1" t="s">
        <x:v>74</x:v>
      </x:c>
      <x:c r="F26" s="10">
        <x:f>'[1]학교급설치현황(중)'!E31</x:f>
        <x:v>2</x:v>
      </x:c>
      <x:c r="G26" s="4">
        <x:f>'[1]학교급설치현황(중)'!I31</x:f>
        <x:v>13</x:v>
      </x:c>
      <x:c r="H26" s="4">
        <x:f>'[1]학교급설치현황(중)'!Q31</x:f>
        <x:v>0</x:v>
      </x:c>
      <x:c r="I26" s="5" t="s">
        <x:v>91</x:v>
      </x:c>
      <x:c r="J26" s="6"/>
      <x:c r="K26" s="7">
        <x:v>37.3402167369509</x:v>
      </x:c>
      <x:c r="L26" s="7">
        <x:v>126.742472935904</x:v>
      </x:c>
    </x:row>
    <x:row r="27" spans="1:12" ht="39.54999999999999715783">
      <x:c r="A27" s="1" t="s">
        <x:v>40</x:v>
      </x:c>
      <x:c r="B27" s="1" t="s">
        <x:v>87</x:v>
      </x:c>
      <x:c r="C27" s="1" t="s">
        <x:v>45</x:v>
      </x:c>
      <x:c r="D27" s="1" t="s">
        <x:v>101</x:v>
      </x:c>
      <x:c r="E27" s="1" t="s">
        <x:v>12</x:v>
      </x:c>
      <x:c r="F27" s="10">
        <x:f>'[1]학교급설치현황(중)'!E32</x:f>
        <x:v>1</x:v>
      </x:c>
      <x:c r="G27" s="4">
        <x:f>'[1]학교급설치현황(중)'!I32</x:f>
        <x:v>4</x:v>
      </x:c>
      <x:c r="H27" s="4">
        <x:f>'[1]학교급설치현황(중)'!Q32</x:f>
        <x:v>1</x:v>
      </x:c>
      <x:c r="I27" s="5" t="s">
        <x:v>91</x:v>
      </x:c>
      <x:c r="J27" s="6"/>
      <x:c r="K27" s="7">
        <x:v>37.377455340651302</x:v>
      </x:c>
      <x:c r="L27" s="7">
        <x:v>126.85843138579</x:v>
      </x:c>
    </x:row>
    <x:row r="28" spans="1:12" ht="39.54999999999999715783">
      <x:c r="A28" s="1" t="s">
        <x:v>98</x:v>
      </x:c>
      <x:c r="B28" s="1" t="s">
        <x:v>88</x:v>
      </x:c>
      <x:c r="C28" s="1" t="s">
        <x:v>28</x:v>
      </x:c>
      <x:c r="D28" s="1" t="s">
        <x:v>9</x:v>
      </x:c>
      <x:c r="E28" s="1" t="s">
        <x:v>10</x:v>
      </x:c>
      <x:c r="F28" s="2">
        <x:f>'[1]학교급설치현황(중)'!E34</x:f>
        <x:v>0</x:v>
      </x:c>
      <x:c r="G28" s="3">
        <x:f>'[1]학교급설치현황(중)'!I34</x:f>
        <x:v>0</x:v>
      </x:c>
      <x:c r="H28" s="4">
        <x:f>'[1]학교급설치현황(중)'!Q34</x:f>
        <x:v>0</x:v>
      </x:c>
      <x:c r="I28" s="5" t="s">
        <x:v>91</x:v>
      </x:c>
      <x:c r="J28" s="6"/>
      <x:c r="K28" s="7">
        <x:v>37.459014695152099</x:v>
      </x:c>
      <x:c r="L28" s="7">
        <x:v>126.83298555665399</x:v>
      </x:c>
    </x:row>
    <x:row r="29" spans="1:12" ht="39.54999999999999715783">
      <x:c r="A29" s="1" t="s">
        <x:v>62</x:v>
      </x:c>
      <x:c r="B29" s="1" t="s">
        <x:v>87</x:v>
      </x:c>
      <x:c r="C29" s="1" t="s">
        <x:v>114</x:v>
      </x:c>
      <x:c r="D29" s="1" t="s">
        <x:v>11</x:v>
      </x:c>
      <x:c r="E29" s="1" t="s">
        <x:v>72</x:v>
      </x:c>
      <x:c r="F29" s="10">
        <x:f>'[1]학교급설치현황(중)'!E33</x:f>
        <x:v>1</x:v>
      </x:c>
      <x:c r="G29" s="4">
        <x:f>'[1]학교급설치현황(중)'!I33</x:f>
        <x:v>4</x:v>
      </x:c>
      <x:c r="H29" s="4">
        <x:f>'[1]학교급설치현황(중)'!Q33</x:f>
        <x:v>1</x:v>
      </x:c>
      <x:c r="I29" s="5" t="s">
        <x:v>89</x:v>
      </x:c>
      <x:c r="J29" s="6"/>
      <x:c r="K29" s="7">
        <x:v>37.363815059537203</x:v>
      </x:c>
      <x:c r="L29" s="7">
        <x:v>126.736942242845</x:v>
      </x:c>
    </x:row>
  </x:sheetData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middle</vt:lpstr>
    </vt:vector>
  </ep:TitlesOfParts>
  <ep:TotalTime>28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11</cp:revision>
  <dcterms:created xsi:type="dcterms:W3CDTF">2026-06-30T06:55:22.356</dcterms:created>
  <dcterms:modified xsi:type="dcterms:W3CDTF">2026-09-23T05:34:18.456</dcterms:modified>
  <cp:version>1200.0100.01</cp:version>
</cp:coreProperties>
</file>