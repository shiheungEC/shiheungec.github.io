
<file path=[Content_Types].xml><?xml version="1.0" encoding="utf-8"?>
<Types xmlns="http://schemas.openxmlformats.org/package/2006/content-types">
  <Default Extension="rels" ContentType="application/vnd.openxmlformats-package.relationships+xml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97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특수학급지도 - V5 -\data\"/>
    </mc:Choice>
  </mc:AlternateContent>
  <x:bookViews>
    <x:workbookView xWindow="0" yWindow="0" windowWidth="28545" windowHeight="11340" tabRatio="500"/>
  </x:bookViews>
  <x:sheets>
    <x:sheet name="high" sheetId="1" r:id="rId4"/>
  </x:sheets>
  <x:externalReferences>
    <x:externalReference r:id="rId5"/>
  </x:externalReferenc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<x:sst xmlns:r="http://schemas.openxmlformats.org/officeDocument/2006/relationships" xmlns:c="http://schemas.openxmlformats.org/drawingml/2006/chart" xmlns:x="http://schemas.openxmlformats.org/spreadsheetml/2006/main" count="107" uniqueCount="75">
  <x:si>
    <x:t>경기도 시흥시 금오로 103</x:t>
  </x:si>
  <x:si>
    <x:t>031-488-5333</x:t>
  </x:si>
  <x:si>
    <x:t>070-8708-2117</x:t>
  </x:si>
  <x:si>
    <x:t>031-489-8114</x:t>
  </x:si>
  <x:si>
    <x:t>031-8084-8102</x:t>
  </x:si>
  <x:si>
    <x:t>031-363-5100</x:t>
  </x:si>
  <x:si>
    <x:t>경기도 시흥시 매화로 35</x:t>
  </x:si>
  <x:si>
    <x:t>031-496-2969</x:t>
  </x:si>
  <x:si>
    <x:t>경기도 시흥시 금오로 640</x:t>
  </x:si>
  <x:si>
    <x:t>경기도 시흥시 포도원로 50</x:t>
  </x:si>
  <x:si>
    <x:t>경기도 시흥시 승지로 107</x:t>
  </x:si>
  <x:si>
    <x:t>031-8042-7150</x:t>
  </x:si>
  <x:si>
    <x:t>070-7014-4342</x:t>
  </x:si>
  <x:si>
    <x:t>031-460-8900</x:t>
  </x:si>
  <x:si>
    <x:t>031-362-8400</x:t>
  </x:si>
  <x:si>
    <x:t>02-2610-4600</x:t>
  </x:si>
  <x:si>
    <x:t>경기도 시흥시 상직길 25</x:t>
  </x:si>
  <x:si>
    <x:t>031-500-5201</x:t>
  </x:si>
  <x:si>
    <x:t>031-363-1525</x:t>
  </x:si>
  <x:si>
    <x:t>031-365-8365</x:t>
  </x:si>
  <x:si>
    <x:t>경기도 시흥시 은행고길 85</x:t>
  </x:si>
  <x:si>
    <x:t>031-317-2744</x:t>
  </x:si>
  <x:si>
    <x:t>경기도 시흥시 역전로 463</x:t>
  </x:si>
  <x:si>
    <x:t>031-430-8226</x:t>
  </x:si>
  <x:si>
    <x:t>031-310-9000</x:t>
  </x:si>
  <x:si>
    <x:t>한국조리과학고등학교</x:t>
  </x:si>
  <x:si>
    <x:t>경기자동차과학고등학교</x:t>
  </x:si>
  <x:si>
    <x:t>시흥능곡고등학교</x:t>
  </x:si>
  <x:si>
    <x:t>시흥매화고등학교</x:t>
  </x:si>
  <x:si>
    <x:t>4/ 11/ 4</x:t>
  </x:si>
  <x:si>
    <x:t>3/ 1</x:t>
  </x:si>
  <x:si>
    <x:t>시흥고등학교</x:t>
  </x:si>
  <x:si>
    <x:t>함현고등학교</x:t>
  </x:si>
  <x:si>
    <x:t>신천고등학교</x:t>
  </x:si>
  <x:si>
    <x:t>장곡고등학교</x:t>
  </x:si>
  <x:si>
    <x:t>배곧고등학교</x:t>
  </x:si>
  <x:si>
    <x:t>22/ 4</x:t>
  </x:si>
  <x:si>
    <x:t>군서고등학교</x:t>
  </x:si>
  <x:si>
    <x:t>군자디지털과학고등학교</x:t>
  </x:si>
  <x:si>
    <x:t>(특수/순회/일반)</x:t>
  </x:si>
  <x:si>
    <x:t>경기스마트고등학교(복합특수)</x:t>
  </x:si>
  <x:si>
    <x:t>031-313-6100</x:t>
  </x:si>
  <x:si>
    <x:t>(복특+시간+순회+일반)</x:t>
  </x:si>
  <x:si>
    <x:t>경기도 시흥시 정왕대로 118번길 13</x:t>
  </x:si>
  <x:si>
    <x:t>경기도 시흥시 수인로 3287번길 26</x:t>
  </x:si>
  <x:si>
    <x:t>복특1/시간제2/순회1</x:t>
  </x:si>
  <x:si>
    <x:t>위도</x:t>
  </x:si>
  <x:si>
    <x:t>공립</x:t>
  </x:si>
  <x:si>
    <x:t>사립</x:t>
  </x:si>
  <x:si>
    <x:t>비고</x:t>
  </x:si>
  <x:si>
    <x:t>유</x:t>
  </x:si>
  <x:si>
    <x:t>경도</x:t>
  </x:si>
  <x:si>
    <x:t>-</x:t>
  </x:si>
  <x:si>
    <x:t xml:space="preserve"> 주소</x:t>
  </x:si>
  <x:si>
    <x:t xml:space="preserve"> 특수/순회학급수</x:t>
  </x:si>
  <x:si>
    <x:t>보조인력 배치 유/무</x:t>
  </x:si>
  <x:si>
    <x:t>군서미래국제학교(고)</x:t>
  </x:si>
  <x:si>
    <x:t>경기도 시흥시 정왕신길로 13</x:t>
  </x:si>
  <x:si>
    <x:t>경기도 시흥시 정왕천로 404</x:t>
  </x:si>
  <x:si>
    <x:t>경기도 시흥시 군자로487번길 54</x:t>
  </x:si>
  <x:si>
    <x:t>경기도 시흥시 배곧 4로 94-10</x:t>
  </x:si>
  <x:si>
    <x:t>경기도 시흥시 목감둘레로 150</x:t>
  </x:si>
  <x:si>
    <x:t>경기도 시흥시 봉우재로 37번길 5</x:t>
  </x:si>
  <x:si>
    <x:t>경기도 시흥시 장곡로 70번길 8</x:t>
  </x:si>
  <x:si>
    <x:t>경기도 시흥시 군서마을로 100</x:t>
  </x:si>
  <x:si>
    <x:t>은행고등학교</x:t>
  </x:si>
  <x:si>
    <x:t>목감고등학교</x:t>
  </x:si>
  <x:si>
    <x:t>서해고등학교</x:t>
  </x:si>
  <x:si>
    <x:t>정왕고등학교</x:t>
  </x:si>
  <x:si>
    <x:t>소래고등학교</x:t>
  </x:si>
  <x:si>
    <x:t xml:space="preserve"> 연락처</x:t>
  </x:si>
  <x:si>
    <x:t xml:space="preserve"> 학교설립별</x:t>
  </x:si>
  <x:si>
    <x:t xml:space="preserve"> 학교명</x:t>
  </x:si>
  <x:si>
    <x:t>특수/순회학급 배치 학생 수</x:t>
  </x:si>
  <x:si>
    <x:t>일반학급 배치 학생 수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</x:si>
</x:sst>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4">
    <x:numFmt numFmtId="164" formatCode="&quot; &quot;?&quot;명&quot;"/>
    <x:numFmt numFmtId="165" formatCode="&quot;(특수 : &quot;?&quot;학급)&quot;"/>
    <x:numFmt numFmtId="166" formatCode="&quot;( &quot;?&quot;학급)&quot;"/>
    <x:numFmt numFmtId="167" formatCode="&quot;( &quot;?&quot;명)&quot;"/>
  </x:numFmts>
  <x:fonts count="8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</x:font>
      </mc:Fallback>
    </mc:AlternateContent>
    <x:font>
      <x:name val="돋움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12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1" xfId="0" applyNumberForma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1" xfId="0" applyNumberFormat="1" applyBorder="1" applyAlignment="1">
          <x:alignment horizontal="right" vertical="center"/>
        </x:xf>
      </mc:Fallback>
    </mc:AlternateContent>
    <x:xf numFmtId="164" fontId="0" fillId="0" borderId="1" xfId="0" applyNumberFormat="1" applyFont="1" applyFill="1" applyBorder="1">
      <x:alignment horizontal="general" vertical="center"/>
    </x:xf>
    <x:xf numFmtId="0" fontId="0" fillId="0" borderId="1" xfId="0" applyNumberFormat="1" applyBorder="1">
      <x:alignment horizontal="general" vertical="center"/>
    </x:xf>
    <x:xf numFmtId="0" fontId="7" fillId="0" borderId="1" xfId="0" applyNumberFormat="1" applyFont="1" applyFill="1" applyBorder="1" applyAlignment="1" applyProtection="1">
      <x:alignment horizontal="general" vertical="center"/>
    </x:xf>
    <x:xf numFmtId="0" fontId="7" fillId="0" borderId="0" xfId="0" applyNumberFormat="1" applyFont="1" applyFill="1" applyBorder="1" applyAlignment="1" applyProtection="1">
      <x:alignment horizontal="general" vertical="center"/>
    </x:xf>
    <x:xf numFmtId="41" fontId="0" fillId="0" borderId="1" xfId="0" applyNumberFormat="1" applyBorder="1">
      <x:alignment horizontal="general" vertical="center"/>
    </x:xf>
    <x:xf numFmtId="41" fontId="0" fillId="0" borderId="1" xfId="0" applyNumberFormat="1" applyFont="1" applyFill="1" applyBorder="1">
      <x:alignment horizontal="general" vertical="center"/>
    </x:xf>
    <x:xf numFmtId="165" fontId="0" fillId="0" borderId="1" xfId="0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0" fillId="0" borderId="1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0" borderId="1" xfId="0" applyNumberFormat="1" applyFont="1" applyFill="1" applyBorder="1" applyAlignment="1">
          <x:alignment horizontal="right" vertical="center"/>
        </x:xf>
      </mc:Fallback>
    </mc:AlternateContent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externalLink" Target="externalLinks/externalLink1.xml"  /></Relationships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file:///C:/1.%2026%20&#49884;&#55141;&#53945;&#49688;&#44368;&#50977;&#51648;&#50896;&#52397;%20&#50629;&#47924;/3.&#53945;&#49688;&#44368;&#50977;&#45824;&#49345;&#51088;%20&#44033;&#51333;%20&#54788;&#54889;+&#51221;&#50896;&#50808;&#44288;&#47532;/&#9734;2026&#54617;&#45380;&#46020;%20&#49884;&#55141;%20&#53945;&#49688;&#44368;&#50977;&#45824;&#49345;&#51088;%20&#48143;%20&#44033;&#51333;%20&#54788;&#54889;(26.10.01)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&lt;총괄"/>
      <x:sheetName val="특수학급 변동"/>
      <x:sheetName val="영아"/>
      <x:sheetName val="1_ 유치원"/>
      <x:sheetName val="명단-유치원"/>
      <x:sheetName val="2.초등"/>
      <x:sheetName val="명단-초등학교"/>
      <x:sheetName val="3.중등"/>
      <x:sheetName val="명단-중학교"/>
      <x:sheetName val="4.고등"/>
      <x:sheetName val="명단-고등학교"/>
      <x:sheetName val="영유아보육료"/>
      <x:sheetName val="부결"/>
      <x:sheetName val="취소"/>
      <x:sheetName val="유예, 정원외 관리, 취학유예 등"/>
      <x:sheetName val="전출"/>
      <x:sheetName val="의료지원 필요 특수교육대상자"/>
      <x:sheetName val="건강장애 원격수업 이용현황"/>
      <x:sheetName val="치료사 치료지원"/>
      <x:sheetName val="졸업자 명단"/>
      <x:sheetName val="개교예정교"/>
      <x:sheetName val="센터현황"/>
      <x:sheetName val="2026. 9. 1.자 추가배치 신청"/>
      <x:sheetName val="2026. 9. 1.자 추가배치 신청 (2)"/>
      <x:sheetName val="특수교사"/>
      <x:sheetName val="협력강사"/>
      <x:sheetName val="특수교육지도사"/>
      <x:sheetName val="사회복무요원"/>
      <x:sheetName val="교내활동지원"/>
      <x:sheetName val="학교내일자리·봉사"/>
      <x:sheetName val="특수교육종일반"/>
      <x:sheetName val="꿈이든카드제공기관"/>
      <x:sheetName val="경기 특수학교 및 지원센터&gt;"/>
      <x:sheetName val="학교급설치현황(유)"/>
      <x:sheetName val="학교급설치현황(초)"/>
      <x:sheetName val="학교급설치현황(중)"/>
      <x:sheetName val="학교급설치현황(고)"/>
      <x:sheetName val="구글지도 업로드용(유)"/>
      <x:sheetName val="구글지도 업로드용 (초)"/>
      <x:sheetName val="구글지도 업로드용 (중)"/>
      <x:sheetName val="구글지도 업로드용 (고)"/>
    </x:sheetNames>
    <x:sheetDataSet>
      <x:sheetData sheetId="0" refreshError="0"/>
      <x:sheetData sheetId="1" refreshError="0"/>
      <x:sheetData sheetId="2" refreshError="0"/>
      <x:sheetData sheetId="3" refreshError="0"/>
      <x:sheetData sheetId="4" refreshError="0"/>
      <x:sheetData sheetId="5" refreshError="0"/>
      <x:sheetData sheetId="6" refreshError="0"/>
      <x:sheetData sheetId="7" refreshError="0"/>
      <x:sheetData sheetId="8" refreshError="0"/>
      <x:sheetData sheetId="9" refreshError="0"/>
      <x:sheetData sheetId="10" refreshError="0"/>
      <x:sheetData sheetId="11" refreshError="0"/>
      <x:sheetData sheetId="12" refreshError="0"/>
      <x:sheetData sheetId="13" refreshError="0"/>
      <x:sheetData sheetId="14" refreshError="0"/>
      <x:sheetData sheetId="15" refreshError="0"/>
      <x:sheetData sheetId="16" refreshError="0"/>
      <x:sheetData sheetId="17" refreshError="0"/>
      <x:sheetData sheetId="18" refreshError="0"/>
      <x:sheetData sheetId="19" refreshError="0"/>
      <x:sheetData sheetId="20" refreshError="0"/>
      <x:sheetData sheetId="21" refreshError="0"/>
      <x:sheetData sheetId="22" refreshError="0"/>
      <x:sheetData sheetId="23" refreshError="0"/>
      <x:sheetData sheetId="24" refreshError="0"/>
      <x:sheetData sheetId="25" refreshError="0"/>
      <x:sheetData sheetId="26" refreshError="0"/>
      <x:sheetData sheetId="27" refreshError="0"/>
      <x:sheetData sheetId="28" refreshError="0"/>
      <x:sheetData sheetId="29" refreshError="0"/>
      <x:sheetData sheetId="30" refreshError="0"/>
      <x:sheetData sheetId="31" refreshError="0"/>
      <x:sheetData sheetId="32" refreshError="0"/>
      <x:sheetData sheetId="33" refreshError="0"/>
      <x:sheetData sheetId="34" refreshError="0"/>
      <x:sheetData sheetId="35" refreshError="0"/>
      <x:sheetData sheetId="36" refreshError="0">
        <x:row r="7">
          <x:cell r="I7">
            <x:v>11</x:v>
          </x:cell>
          <x:cell r="L7">
            <x:v>4</x:v>
          </x:cell>
          <x:cell r="Q7">
            <x:v>1</x:v>
          </x:cell>
        </x:row>
        <x:row r="8">
          <x:cell r="I8">
            <x:v>4</x:v>
          </x:cell>
        </x:row>
        <x:row r="9">
          <x:cell r="E9">
            <x:v>2</x:v>
          </x:cell>
          <x:cell r="I9">
            <x:v>14</x:v>
          </x:cell>
          <x:cell r="Q9">
            <x:v>2</x:v>
          </x:cell>
        </x:row>
        <x:row r="10">
          <x:cell r="E10">
            <x:v>3</x:v>
          </x:cell>
          <x:cell r="I10">
            <x:v>22</x:v>
          </x:cell>
          <x:cell r="K10">
            <x:v>1</x:v>
          </x:cell>
          <x:cell r="L10">
            <x:v>4</x:v>
          </x:cell>
          <x:cell r="Q10">
            <x:v>2</x:v>
          </x:cell>
        </x:row>
        <x:row r="11">
          <x:cell r="E11">
            <x:v>2</x:v>
          </x:cell>
          <x:cell r="I11">
            <x:v>9</x:v>
          </x:cell>
          <x:cell r="Q11">
            <x:v>3</x:v>
          </x:cell>
        </x:row>
        <x:row r="12">
          <x:cell r="E12">
            <x:v>2</x:v>
          </x:cell>
          <x:cell r="I12">
            <x:v>14</x:v>
          </x:cell>
          <x:cell r="Q12">
            <x:v>8</x:v>
          </x:cell>
        </x:row>
        <x:row r="13">
          <x:cell r="E13">
            <x:v>3</x:v>
          </x:cell>
          <x:cell r="I13">
            <x:v>22</x:v>
          </x:cell>
          <x:cell r="Q13">
            <x:v>6</x:v>
          </x:cell>
        </x:row>
        <x:row r="14">
          <x:cell r="E14">
            <x:v>1</x:v>
          </x:cell>
          <x:cell r="I14">
            <x:v>7</x:v>
          </x:cell>
          <x:cell r="Q14">
            <x:v>2</x:v>
          </x:cell>
        </x:row>
        <x:row r="15">
          <x:cell r="E15">
            <x:v>2</x:v>
          </x:cell>
          <x:cell r="I15">
            <x:v>14</x:v>
          </x:cell>
          <x:cell r="Q15">
            <x:v>2</x:v>
          </x:cell>
        </x:row>
        <x:row r="16">
          <x:cell r="E16">
            <x:v>2</x:v>
          </x:cell>
          <x:cell r="I16">
            <x:v>12</x:v>
          </x:cell>
          <x:cell r="Q16">
            <x:v>2</x:v>
          </x:cell>
        </x:row>
        <x:row r="17">
          <x:cell r="E17">
            <x:v>1</x:v>
          </x:cell>
          <x:cell r="I17">
            <x:v>1</x:v>
          </x:cell>
          <x:cell r="Q17">
            <x:v>1</x:v>
          </x:cell>
        </x:row>
        <x:row r="18">
          <x:cell r="E18">
            <x:v>3</x:v>
          </x:cell>
          <x:cell r="I18">
            <x:v>20</x:v>
          </x:cell>
          <x:cell r="Q18">
            <x:v>0</x:v>
          </x:cell>
        </x:row>
        <x:row r="19">
          <x:cell r="E19">
            <x:v>3</x:v>
          </x:cell>
          <x:cell r="I19">
            <x:v>20</x:v>
          </x:cell>
          <x:cell r="Q19">
            <x:v>4</x:v>
          </x:cell>
        </x:row>
        <x:row r="20">
          <x:cell r="E20">
            <x:v>2</x:v>
          </x:cell>
          <x:cell r="I20">
            <x:v>12</x:v>
          </x:cell>
          <x:cell r="Q20">
            <x:v>5</x:v>
          </x:cell>
        </x:row>
        <x:row r="21">
          <x:cell r="E21">
            <x:v>2</x:v>
          </x:cell>
          <x:cell r="I21">
            <x:v>15</x:v>
          </x:cell>
          <x:cell r="Q21">
            <x:v>1</x:v>
          </x:cell>
        </x:row>
        <x:row r="22">
          <x:cell r="E22"/>
          <x:cell r="I22"/>
          <x:cell r="Q22">
            <x:v>3</x:v>
          </x:cell>
        </x:row>
        <x:row r="23">
          <x:cell r="E23"/>
          <x:cell r="I23"/>
          <x:cell r="Q23">
            <x:v>1</x:v>
          </x:cell>
        </x:row>
        <x:row r="24">
          <x:cell r="E24"/>
          <x:cell r="I24"/>
          <x:cell r="Q24">
            <x:v>0</x:v>
          </x:cell>
        </x:row>
        <x:row r="25">
          <x:cell r="Q25">
            <x:v>0</x:v>
          </x:cell>
        </x:row>
      </x:sheetData>
      <x:sheetData sheetId="37" refreshError="0"/>
      <x:sheetData sheetId="38" refreshError="0"/>
      <x:sheetData sheetId="39" refreshError="0"/>
      <x:sheetData sheetId="40" refreshError="0"/>
    </x:sheetDataSet>
  </x:externalBook>
</x:externalLink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K19"/>
  <x:sheetViews>
    <x:sheetView tabSelected="1" topLeftCell="A1" zoomScaleNormal="100" zoomScaleSheetLayoutView="100" workbookViewId="0">
      <x:selection activeCell="P12" activeCellId="0" sqref="P12:P12"/>
    </x:sheetView>
  </x:sheetViews>
  <x:sheetFormatPr defaultColWidth="9.00390625" defaultRowHeight="16.39999999999999857891"/>
  <x:cols>
    <x:col min="2" max="2" width="11.1328125" bestFit="1" customWidth="1"/>
    <x:col min="3" max="3" width="31.3828125" bestFit="1" customWidth="1"/>
    <x:col min="4" max="4" width="18.85546875" bestFit="1" customWidth="1"/>
    <x:col min="5" max="5" width="15.69140625" bestFit="1" customWidth="1"/>
    <x:col min="6" max="6" width="24.55078125" bestFit="1" customWidth="1"/>
    <x:col min="8" max="8" width="21.63671875" bestFit="1" customWidth="1"/>
    <x:col min="10" max="11" width="13.03125" bestFit="1" customWidth="1"/>
  </x:cols>
  <x:sheetData>
    <x:row r="1" spans="1:11">
      <x:c r="A1" t="s">
        <x:v>72</x:v>
      </x:c>
      <x:c r="B1" t="s">
        <x:v>71</x:v>
      </x:c>
      <x:c r="C1" t="s">
        <x:v>53</x:v>
      </x:c>
      <x:c r="D1" t="s">
        <x:v>70</x:v>
      </x:c>
      <x:c r="E1" t="s">
        <x:v>54</x:v>
      </x:c>
      <x:c r="F1" t="s">
        <x:v>73</x:v>
      </x:c>
      <x:c r="G1" t="s">
        <x:v>74</x:v>
      </x:c>
      <x:c r="H1" t="s">
        <x:v>55</x:v>
      </x:c>
      <x:c r="I1" t="s">
        <x:v>49</x:v>
      </x:c>
      <x:c r="J1" t="s">
        <x:v>46</x:v>
      </x:c>
      <x:c r="K1" t="s">
        <x:v>51</x:v>
      </x:c>
    </x:row>
    <x:row r="2" spans="1:11" ht="39.54999999999999715783">
      <x:c r="A2" s="1" t="s">
        <x:v>40</x:v>
      </x:c>
      <x:c r="B2" s="1" t="s">
        <x:v>47</x:v>
      </x:c>
      <x:c r="C2" s="1" t="s">
        <x:v>58</x:v>
      </x:c>
      <x:c r="D2" s="1" t="s">
        <x:v>2</x:v>
      </x:c>
      <x:c r="E2" s="2" t="s">
        <x:v>45</x:v>
      </x:c>
      <x:c r="F2" s="2" t="str">
        <x:f>'[1]학교급설치현황(고)'!I8&amp;"/ "&amp;'[1]학교급설치현황(고)'!I7&amp;"/ "&amp;'[1]학교급설치현황(고)'!L7</x:f>
        <x:v>4/ 11/ 4</x:v>
      </x:c>
      <x:c r="G2" s="3">
        <x:f>'[1]학교급설치현황(고)'!Q7</x:f>
        <x:v>1</x:v>
      </x:c>
      <x:c r="H2" s="4" t="s">
        <x:v>50</x:v>
      </x:c>
      <x:c r="I2" s="5" t="s">
        <x:v>42</x:v>
      </x:c>
      <x:c r="J2" s="6">
        <x:v>37.343459867978297</x:v>
      </x:c>
      <x:c r="K2" s="6">
        <x:v>126.752334343046</x:v>
      </x:c>
    </x:row>
    <x:row r="3" spans="1:11" ht="39.54999999999999715783">
      <x:c r="A3" s="1" t="s">
        <x:v>26</x:v>
      </x:c>
      <x:c r="B3" s="1" t="s">
        <x:v>48</x:v>
      </x:c>
      <x:c r="C3" s="1" t="s">
        <x:v>0</x:v>
      </x:c>
      <x:c r="D3" s="1" t="s">
        <x:v>24</x:v>
      </x:c>
      <x:c r="E3" s="7">
        <x:f>'[1]학교급설치현황(고)'!E24</x:f>
        <x:v>0</x:v>
      </x:c>
      <x:c r="F3" s="7">
        <x:f>'[1]학교급설치현황(고)'!I24</x:f>
        <x:v>0</x:v>
      </x:c>
      <x:c r="G3" s="8">
        <x:f>'[1]학교급설치현황(고)'!Q24</x:f>
        <x:v>0</x:v>
      </x:c>
      <x:c r="H3" s="4" t="s">
        <x:v>52</x:v>
      </x:c>
      <x:c r="I3" s="5"/>
      <x:c r="J3" s="6">
        <x:v>37.413575758320903</x:v>
      </x:c>
      <x:c r="K3" s="6">
        <x:v>126.838933278356</x:v>
      </x:c>
    </x:row>
    <x:row r="4" spans="1:11" ht="26.35000000000000142109">
      <x:c r="A4" s="1" t="s">
        <x:v>37</x:v>
      </x:c>
      <x:c r="B4" s="1" t="s">
        <x:v>47</x:v>
      </x:c>
      <x:c r="C4" s="1" t="s">
        <x:v>64</x:v>
      </x:c>
      <x:c r="D4" s="1" t="s">
        <x:v>18</x:v>
      </x:c>
      <x:c r="E4" s="9">
        <x:f>'[1]학교급설치현황(고)'!E9</x:f>
        <x:v>2</x:v>
      </x:c>
      <x:c r="F4" s="3">
        <x:f>'[1]학교급설치현황(고)'!I9</x:f>
        <x:v>14</x:v>
      </x:c>
      <x:c r="G4" s="3">
        <x:f>'[1]학교급설치현황(고)'!Q9</x:f>
        <x:v>2</x:v>
      </x:c>
      <x:c r="H4" s="4" t="s">
        <x:v>52</x:v>
      </x:c>
      <x:c r="I4" s="5"/>
      <x:c r="J4" s="6">
        <x:v>37.349205378688097</x:v>
      </x:c>
      <x:c r="K4" s="6">
        <x:v>126.742469324354</x:v>
      </x:c>
    </x:row>
    <x:row r="5" spans="1:11" ht="26.35000000000000142109">
      <x:c r="A5" s="1" t="s">
        <x:v>56</x:v>
      </x:c>
      <x:c r="B5" s="1" t="s">
        <x:v>47</x:v>
      </x:c>
      <x:c r="C5" s="1" t="s">
        <x:v>62</x:v>
      </x:c>
      <x:c r="D5" s="1" t="s">
        <x:v>17</x:v>
      </x:c>
      <x:c r="E5" s="7">
        <x:v>0</x:v>
      </x:c>
      <x:c r="F5" s="7">
        <x:v>0</x:v>
      </x:c>
      <x:c r="G5" s="8">
        <x:f>'[1]학교급설치현황(고)'!Q25</x:f>
        <x:v>0</x:v>
      </x:c>
      <x:c r="H5" s="4" t="s">
        <x:v>52</x:v>
      </x:c>
      <x:c r="I5" s="5"/>
      <x:c r="J5" s="6">
        <x:v>37.346265061251103</x:v>
      </x:c>
      <x:c r="K5" s="6">
        <x:v>126.743175702763</x:v>
      </x:c>
    </x:row>
    <x:row r="6" spans="1:11" ht="39.54999999999999715783">
      <x:c r="A6" s="1" t="s">
        <x:v>38</x:v>
      </x:c>
      <x:c r="B6" s="1" t="s">
        <x:v>47</x:v>
      </x:c>
      <x:c r="C6" s="1" t="s">
        <x:v>59</x:v>
      </x:c>
      <x:c r="D6" s="1" t="s">
        <x:v>3</x:v>
      </x:c>
      <x:c r="E6" s="10" t="str">
        <x:f>'[1]학교급설치현황(고)'!E10&amp;"/ "&amp;'[1]학교급설치현황(고)'!K10</x:f>
        <x:v>3/ 1</x:v>
      </x:c>
      <x:c r="F6" s="11" t="str">
        <x:f>'[1]학교급설치현황(고)'!I10&amp;"/ "&amp;'[1]학교급설치현황(고)'!L10</x:f>
        <x:v>22/ 4</x:v>
      </x:c>
      <x:c r="G6" s="3">
        <x:f>'[1]학교급설치현황(고)'!Q10</x:f>
        <x:v>2</x:v>
      </x:c>
      <x:c r="H6" s="4" t="s">
        <x:v>52</x:v>
      </x:c>
      <x:c r="I6" s="5" t="s">
        <x:v>39</x:v>
      </x:c>
      <x:c r="J6" s="6">
        <x:v>37.349803420991499</x:v>
      </x:c>
      <x:c r="K6" s="6">
        <x:v>126.78572567641</x:v>
      </x:c>
    </x:row>
    <x:row r="7" spans="1:11" ht="26.35000000000000142109">
      <x:c r="A7" s="1" t="s">
        <x:v>66</x:v>
      </x:c>
      <x:c r="B7" s="1" t="s">
        <x:v>47</x:v>
      </x:c>
      <x:c r="C7" s="1" t="s">
        <x:v>61</x:v>
      </x:c>
      <x:c r="D7" s="1" t="s">
        <x:v>13</x:v>
      </x:c>
      <x:c r="E7" s="9">
        <x:f>'[1]학교급설치현황(고)'!E11</x:f>
        <x:v>2</x:v>
      </x:c>
      <x:c r="F7" s="3">
        <x:f>'[1]학교급설치현황(고)'!I11</x:f>
        <x:v>9</x:v>
      </x:c>
      <x:c r="G7" s="3">
        <x:f>'[1]학교급설치현황(고)'!Q11</x:f>
        <x:v>3</x:v>
      </x:c>
      <x:c r="H7" s="4" t="s">
        <x:v>52</x:v>
      </x:c>
      <x:c r="I7" s="5"/>
      <x:c r="J7" s="6">
        <x:v>37.372104507151299</x:v>
      </x:c>
      <x:c r="K7" s="6">
        <x:v>126.857224409281</x:v>
      </x:c>
    </x:row>
    <x:row r="8" spans="1:11" ht="26.35000000000000142109">
      <x:c r="A8" s="1" t="s">
        <x:v>35</x:v>
      </x:c>
      <x:c r="B8" s="1" t="s">
        <x:v>47</x:v>
      </x:c>
      <x:c r="C8" s="1" t="s">
        <x:v>60</x:v>
      </x:c>
      <x:c r="D8" s="1" t="s">
        <x:v>12</x:v>
      </x:c>
      <x:c r="E8" s="9">
        <x:f>'[1]학교급설치현황(고)'!E12</x:f>
        <x:v>2</x:v>
      </x:c>
      <x:c r="F8" s="3">
        <x:f>'[1]학교급설치현황(고)'!I12</x:f>
        <x:v>14</x:v>
      </x:c>
      <x:c r="G8" s="3">
        <x:f>'[1]학교급설치현황(고)'!Q12</x:f>
        <x:v>8</x:v>
      </x:c>
      <x:c r="H8" s="4" t="s">
        <x:v>50</x:v>
      </x:c>
      <x:c r="I8" s="5"/>
      <x:c r="J8" s="6">
        <x:v>37.374180861181003</x:v>
      </x:c>
      <x:c r="K8" s="6">
        <x:v>126.732313270755</x:v>
      </x:c>
    </x:row>
    <x:row r="9" spans="1:11" ht="26.35000000000000142109">
      <x:c r="A9" s="1" t="s">
        <x:v>67</x:v>
      </x:c>
      <x:c r="B9" s="1" t="s">
        <x:v>47</x:v>
      </x:c>
      <x:c r="C9" s="1" t="s">
        <x:v>57</x:v>
      </x:c>
      <x:c r="D9" s="1" t="s">
        <x:v>7</x:v>
      </x:c>
      <x:c r="E9" s="9">
        <x:f>'[1]학교급설치현황(고)'!E13</x:f>
        <x:v>3</x:v>
      </x:c>
      <x:c r="F9" s="3">
        <x:f>'[1]학교급설치현황(고)'!I13</x:f>
        <x:v>22</x:v>
      </x:c>
      <x:c r="G9" s="3">
        <x:f>'[1]학교급설치현황(고)'!Q13</x:f>
        <x:v>6</x:v>
      </x:c>
      <x:c r="H9" s="4" t="s">
        <x:v>50</x:v>
      </x:c>
      <x:c r="I9" s="5"/>
      <x:c r="J9" s="6">
        <x:v>37.360519643566803</x:v>
      </x:c>
      <x:c r="K9" s="6">
        <x:v>126.72373779526799</x:v>
      </x:c>
    </x:row>
    <x:row r="10" spans="1:11" ht="26.35000000000000142109">
      <x:c r="A10" s="1" t="s">
        <x:v>69</x:v>
      </x:c>
      <x:c r="B10" s="1" t="s">
        <x:v>47</x:v>
      </x:c>
      <x:c r="C10" s="1" t="s">
        <x:v>44</x:v>
      </x:c>
      <x:c r="D10" s="1" t="s">
        <x:v>41</x:v>
      </x:c>
      <x:c r="E10" s="9">
        <x:f>'[1]학교급설치현황(고)'!E14</x:f>
        <x:v>1</x:v>
      </x:c>
      <x:c r="F10" s="3">
        <x:f>'[1]학교급설치현황(고)'!I14</x:f>
        <x:v>7</x:v>
      </x:c>
      <x:c r="G10" s="3">
        <x:f>'[1]학교급설치현황(고)'!Q14</x:f>
        <x:v>2</x:v>
      </x:c>
      <x:c r="H10" s="4" t="s">
        <x:v>52</x:v>
      </x:c>
      <x:c r="I10" s="5"/>
      <x:c r="J10" s="6">
        <x:v>37.437816986274001</x:v>
      </x:c>
      <x:c r="K10" s="6">
        <x:v>126.794903362992</x:v>
      </x:c>
    </x:row>
    <x:row r="11" spans="1:11" ht="26.35000000000000142109">
      <x:c r="A11" s="1" t="s">
        <x:v>31</x:v>
      </x:c>
      <x:c r="B11" s="1" t="s">
        <x:v>47</x:v>
      </x:c>
      <x:c r="C11" s="1" t="s">
        <x:v>16</x:v>
      </x:c>
      <x:c r="D11" s="1" t="s">
        <x:v>21</x:v>
      </x:c>
      <x:c r="E11" s="9">
        <x:f>'[1]학교급설치현황(고)'!E15</x:f>
        <x:v>2</x:v>
      </x:c>
      <x:c r="F11" s="3">
        <x:f>'[1]학교급설치현황(고)'!I15</x:f>
        <x:v>14</x:v>
      </x:c>
      <x:c r="G11" s="3">
        <x:f>'[1]학교급설치현황(고)'!Q15</x:f>
        <x:v>2</x:v>
      </x:c>
      <x:c r="H11" s="4" t="s">
        <x:v>50</x:v>
      </x:c>
      <x:c r="I11" s="5"/>
      <x:c r="J11" s="6">
        <x:v>37.3896876200074</x:v>
      </x:c>
      <x:c r="K11" s="6">
        <x:v>126.814163797326</x:v>
      </x:c>
    </x:row>
    <x:row r="12" spans="1:11" ht="26.35000000000000142109">
      <x:c r="A12" s="1" t="s">
        <x:v>27</x:v>
      </x:c>
      <x:c r="B12" s="1" t="s">
        <x:v>47</x:v>
      </x:c>
      <x:c r="C12" s="1" t="s">
        <x:v>10</x:v>
      </x:c>
      <x:c r="D12" s="1" t="s">
        <x:v>4</x:v>
      </x:c>
      <x:c r="E12" s="9">
        <x:f>'[1]학교급설치현황(고)'!E16</x:f>
        <x:v>2</x:v>
      </x:c>
      <x:c r="F12" s="3">
        <x:f>'[1]학교급설치현황(고)'!I16</x:f>
        <x:v>12</x:v>
      </x:c>
      <x:c r="G12" s="3">
        <x:f>'[1]학교급설치현황(고)'!Q16</x:f>
        <x:v>2</x:v>
      </x:c>
      <x:c r="H12" s="4" t="s">
        <x:v>50</x:v>
      </x:c>
      <x:c r="I12" s="5"/>
      <x:c r="J12" s="6">
        <x:v>37.373851359184499</x:v>
      </x:c>
      <x:c r="K12" s="6">
        <x:v>126.811958423921</x:v>
      </x:c>
    </x:row>
    <x:row r="13" spans="1:11" ht="26.35000000000000142109">
      <x:c r="A13" s="1" t="s">
        <x:v>28</x:v>
      </x:c>
      <x:c r="B13" s="1" t="s">
        <x:v>47</x:v>
      </x:c>
      <x:c r="C13" s="1" t="s">
        <x:v>6</x:v>
      </x:c>
      <x:c r="D13" s="1" t="s">
        <x:v>19</x:v>
      </x:c>
      <x:c r="E13" s="9">
        <x:f>'[1]학교급설치현황(고)'!E17</x:f>
        <x:v>1</x:v>
      </x:c>
      <x:c r="F13" s="3">
        <x:f>'[1]학교급설치현황(고)'!I17</x:f>
        <x:v>1</x:v>
      </x:c>
      <x:c r="G13" s="3">
        <x:f>'[1]학교급설치현황(고)'!Q17</x:f>
        <x:v>1</x:v>
      </x:c>
      <x:c r="H13" s="4" t="s">
        <x:v>52</x:v>
      </x:c>
      <x:c r="I13" s="5"/>
      <x:c r="J13" s="6">
        <x:v>37.416205444066698</x:v>
      </x:c>
      <x:c r="K13" s="6">
        <x:v>126.815835674338</x:v>
      </x:c>
    </x:row>
    <x:row r="14" spans="1:11" ht="26.35000000000000142109">
      <x:c r="A14" s="1" t="s">
        <x:v>33</x:v>
      </x:c>
      <x:c r="B14" s="1" t="s">
        <x:v>47</x:v>
      </x:c>
      <x:c r="C14" s="1" t="s">
        <x:v>9</x:v>
      </x:c>
      <x:c r="D14" s="1" t="s">
        <x:v>11</x:v>
      </x:c>
      <x:c r="E14" s="9">
        <x:f>'[1]학교급설치현황(고)'!E18</x:f>
        <x:v>3</x:v>
      </x:c>
      <x:c r="F14" s="3">
        <x:f>'[1]학교급설치현황(고)'!I18</x:f>
        <x:v>20</x:v>
      </x:c>
      <x:c r="G14" s="8">
        <x:f>'[1]학교급설치현황(고)'!Q18</x:f>
        <x:v>0</x:v>
      </x:c>
      <x:c r="H14" s="4" t="s">
        <x:v>50</x:v>
      </x:c>
      <x:c r="I14" s="5"/>
      <x:c r="J14" s="6">
        <x:v>37.435159994161097</x:v>
      </x:c>
      <x:c r="K14" s="6">
        <x:v>126.77848160801599</x:v>
      </x:c>
    </x:row>
    <x:row r="15" spans="1:11" ht="26.35000000000000142109">
      <x:c r="A15" s="1" t="s">
        <x:v>65</x:v>
      </x:c>
      <x:c r="B15" s="1" t="s">
        <x:v>47</x:v>
      </x:c>
      <x:c r="C15" s="1" t="s">
        <x:v>20</x:v>
      </x:c>
      <x:c r="D15" s="1" t="s">
        <x:v>5</x:v>
      </x:c>
      <x:c r="E15" s="9">
        <x:f>'[1]학교급설치현황(고)'!E19</x:f>
        <x:v>3</x:v>
      </x:c>
      <x:c r="F15" s="3">
        <x:f>'[1]학교급설치현황(고)'!I19</x:f>
        <x:v>20</x:v>
      </x:c>
      <x:c r="G15" s="3">
        <x:f>'[1]학교급설치현황(고)'!Q19</x:f>
        <x:v>4</x:v>
      </x:c>
      <x:c r="H15" s="4" t="s">
        <x:v>52</x:v>
      </x:c>
      <x:c r="I15" s="5"/>
      <x:c r="J15" s="6">
        <x:v>37.443323461979297</x:v>
      </x:c>
      <x:c r="K15" s="6">
        <x:v>126.803074349561</x:v>
      </x:c>
    </x:row>
    <x:row r="16" spans="1:11" ht="26.35000000000000142109">
      <x:c r="A16" s="1" t="s">
        <x:v>34</x:v>
      </x:c>
      <x:c r="B16" s="1" t="s">
        <x:v>47</x:v>
      </x:c>
      <x:c r="C16" s="1" t="s">
        <x:v>63</x:v>
      </x:c>
      <x:c r="D16" s="1" t="s">
        <x:v>14</x:v>
      </x:c>
      <x:c r="E16" s="9">
        <x:f>'[1]학교급설치현황(고)'!E20</x:f>
        <x:v>2</x:v>
      </x:c>
      <x:c r="F16" s="3">
        <x:f>'[1]학교급설치현황(고)'!I20</x:f>
        <x:v>12</x:v>
      </x:c>
      <x:c r="G16" s="3">
        <x:f>'[1]학교급설치현황(고)'!Q20</x:f>
        <x:v>5</x:v>
      </x:c>
      <x:c r="H16" s="4" t="s">
        <x:v>52</x:v>
      </x:c>
      <x:c r="I16" s="5"/>
      <x:c r="J16" s="6">
        <x:v>37.380323184850198</x:v>
      </x:c>
      <x:c r="K16" s="6">
        <x:v>126.78191511959101</x:v>
      </x:c>
    </x:row>
    <x:row r="17" spans="1:11" ht="26.35000000000000142109">
      <x:c r="A17" s="1" t="s">
        <x:v>68</x:v>
      </x:c>
      <x:c r="B17" s="1" t="s">
        <x:v>47</x:v>
      </x:c>
      <x:c r="C17" s="1" t="s">
        <x:v>43</x:v>
      </x:c>
      <x:c r="D17" s="1" t="s">
        <x:v>1</x:v>
      </x:c>
      <x:c r="E17" s="7">
        <x:f>'[1]학교급설치현황(고)'!E22</x:f>
        <x:v>0</x:v>
      </x:c>
      <x:c r="F17" s="7">
        <x:f>'[1]학교급설치현황(고)'!I22</x:f>
        <x:v>0</x:v>
      </x:c>
      <x:c r="G17" s="3">
        <x:f>'[1]학교급설치현황(고)'!Q22</x:f>
        <x:v>3</x:v>
      </x:c>
      <x:c r="H17" s="4" t="s">
        <x:v>52</x:v>
      </x:c>
      <x:c r="I17" s="5"/>
      <x:c r="J17" s="6">
        <x:v>37.350561788491397</x:v>
      </x:c>
      <x:c r="K17" s="6">
        <x:v>126.72852815064201</x:v>
      </x:c>
    </x:row>
    <x:row r="18" spans="1:11" ht="26.35000000000000142109">
      <x:c r="A18" s="1" t="s">
        <x:v>25</x:v>
      </x:c>
      <x:c r="B18" s="1" t="s">
        <x:v>48</x:v>
      </x:c>
      <x:c r="C18" s="1" t="s">
        <x:v>8</x:v>
      </x:c>
      <x:c r="D18" s="1" t="s">
        <x:v>15</x:v>
      </x:c>
      <x:c r="E18" s="7">
        <x:f>'[1]학교급설치현황(고)'!E23</x:f>
        <x:v>0</x:v>
      </x:c>
      <x:c r="F18" s="7">
        <x:f>'[1]학교급설치현황(고)'!I23</x:f>
        <x:v>0</x:v>
      </x:c>
      <x:c r="G18" s="3">
        <x:f>'[1]학교급설치현황(고)'!Q23</x:f>
        <x:v>1</x:v>
      </x:c>
      <x:c r="H18" s="4" t="s">
        <x:v>52</x:v>
      </x:c>
      <x:c r="I18" s="5"/>
      <x:c r="J18" s="6">
        <x:v>37.458864154875698</x:v>
      </x:c>
      <x:c r="K18" s="6">
        <x:v>126.83357363455499</x:v>
      </x:c>
    </x:row>
    <x:row r="19" spans="1:11" ht="26.35000000000000142109">
      <x:c r="A19" s="1" t="s">
        <x:v>32</x:v>
      </x:c>
      <x:c r="B19" s="1" t="s">
        <x:v>47</x:v>
      </x:c>
      <x:c r="C19" s="1" t="s">
        <x:v>22</x:v>
      </x:c>
      <x:c r="D19" s="1" t="s">
        <x:v>23</x:v>
      </x:c>
      <x:c r="E19" s="9">
        <x:f>'[1]학교급설치현황(고)'!E21</x:f>
        <x:v>2</x:v>
      </x:c>
      <x:c r="F19" s="3">
        <x:f>'[1]학교급설치현황(고)'!I21</x:f>
        <x:v>15</x:v>
      </x:c>
      <x:c r="G19" s="3">
        <x:f>'[1]학교급설치현황(고)'!Q21</x:f>
        <x:v>1</x:v>
      </x:c>
      <x:c r="H19" s="4" t="s">
        <x:v>50</x:v>
      </x:c>
      <x:c r="I19" s="5"/>
      <x:c r="J19" s="6">
        <x:v>37.366153900848197</x:v>
      </x:c>
      <x:c r="K19" s="6">
        <x:v>126.73846935626</x:v>
      </x:c>
    </x:row>
  </x:sheetData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high</vt:lpstr>
    </vt:vector>
  </ep:TitlesOfParts>
  <ep:TotalTime>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6</cp:revision>
  <dcterms:created xsi:type="dcterms:W3CDTF">2026-06-30T06:54:45.972</dcterms:created>
  <dcterms:modified xsi:type="dcterms:W3CDTF">2026-09-23T05:34:43.109</dcterms:modified>
  <cp:version>1200.0100.01</cp:version>
</cp:coreProperties>
</file>